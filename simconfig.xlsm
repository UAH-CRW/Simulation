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updateLinks="never" defaultThemeVersion="124226"/>
  <bookViews>
    <workbookView xWindow="0" yWindow="0" windowWidth="28800" windowHeight="12210" tabRatio="551" activeTab="1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45621"/>
</workbook>
</file>

<file path=xl/calcChain.xml><?xml version="1.0" encoding="utf-8"?>
<calcChain xmlns="http://schemas.openxmlformats.org/spreadsheetml/2006/main">
  <c r="E22" i="2" l="1"/>
  <c r="D22" i="2"/>
  <c r="C22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7" i="1"/>
  <c r="D9" i="1"/>
  <c r="D10" i="1"/>
  <c r="D11" i="1"/>
  <c r="D12" i="1"/>
  <c r="D14" i="1"/>
  <c r="E263" i="3"/>
  <c r="E212" i="3"/>
  <c r="E294" i="3"/>
  <c r="E76" i="3"/>
  <c r="E273" i="3"/>
  <c r="E245" i="3"/>
  <c r="E251" i="3"/>
  <c r="E267" i="3"/>
  <c r="E310" i="3"/>
  <c r="E105" i="3"/>
  <c r="E288" i="3"/>
  <c r="E327" i="3"/>
  <c r="E337" i="3"/>
  <c r="E151" i="3"/>
  <c r="E280" i="3"/>
  <c r="E229" i="3"/>
  <c r="E108" i="3"/>
  <c r="E61" i="3"/>
  <c r="E51" i="3"/>
  <c r="E176" i="3"/>
  <c r="E335" i="3"/>
  <c r="E68" i="3"/>
  <c r="E339" i="3"/>
  <c r="E309" i="3"/>
  <c r="E214" i="3"/>
  <c r="E255" i="3"/>
  <c r="E185" i="3"/>
  <c r="E266" i="3"/>
  <c r="E336" i="3"/>
  <c r="E126" i="3"/>
  <c r="E183" i="3"/>
  <c r="E130" i="3"/>
  <c r="E171" i="3"/>
  <c r="E312" i="3"/>
  <c r="E329" i="3"/>
  <c r="E324" i="3"/>
  <c r="E146" i="3"/>
  <c r="E286" i="3"/>
  <c r="E86" i="3"/>
  <c r="E72" i="3"/>
  <c r="E88" i="3"/>
  <c r="E305" i="3"/>
  <c r="E201" i="3"/>
  <c r="E240" i="3"/>
  <c r="E101" i="3"/>
  <c r="E137" i="3"/>
  <c r="E118" i="3"/>
  <c r="E159" i="3"/>
  <c r="E284" i="3"/>
  <c r="E170" i="3"/>
  <c r="E227" i="3"/>
  <c r="E157" i="3"/>
  <c r="E75" i="3"/>
  <c r="E73" i="3"/>
  <c r="E44" i="3"/>
  <c r="E164" i="3"/>
  <c r="E205" i="3"/>
  <c r="E112" i="3"/>
  <c r="E302" i="3"/>
  <c r="E189" i="3"/>
  <c r="E306" i="3"/>
  <c r="E85" i="3"/>
  <c r="E278" i="3"/>
  <c r="E343" i="3"/>
  <c r="E224" i="3"/>
  <c r="E330" i="3"/>
  <c r="E225" i="3"/>
  <c r="E190" i="3"/>
  <c r="E247" i="3"/>
  <c r="E194" i="3"/>
  <c r="E235" i="3"/>
  <c r="E169" i="3"/>
  <c r="E90" i="3"/>
  <c r="E78" i="3"/>
  <c r="E210" i="3"/>
  <c r="E307" i="3"/>
  <c r="E241" i="3"/>
  <c r="E149" i="3"/>
  <c r="E346" i="3"/>
  <c r="E334" i="3"/>
  <c r="E52" i="3"/>
  <c r="E222" i="3"/>
  <c r="E257" i="3"/>
  <c r="E223" i="3"/>
  <c r="E234" i="3"/>
  <c r="E94" i="3"/>
  <c r="E326" i="3"/>
  <c r="E320" i="3"/>
  <c r="E295" i="3"/>
  <c r="E283" i="3"/>
  <c r="E252" i="3"/>
  <c r="E276" i="3"/>
  <c r="E43" i="3"/>
  <c r="E249" i="3"/>
  <c r="E340" i="3"/>
  <c r="E141" i="3"/>
  <c r="E65" i="3"/>
  <c r="E200" i="3"/>
  <c r="E341" i="3"/>
  <c r="E99" i="3"/>
  <c r="E303" i="3"/>
  <c r="E173" i="3"/>
  <c r="E231" i="3"/>
  <c r="E117" i="3"/>
  <c r="E259" i="3"/>
  <c r="E119" i="3"/>
  <c r="E107" i="3"/>
  <c r="E144" i="3"/>
  <c r="E253" i="3"/>
  <c r="E338" i="3"/>
  <c r="E293" i="3"/>
  <c r="E153" i="3"/>
  <c r="E41" i="3"/>
  <c r="E281" i="3"/>
  <c r="E289" i="3"/>
  <c r="E233" i="3"/>
  <c r="E297" i="3"/>
  <c r="E193" i="3"/>
  <c r="E92" i="3"/>
  <c r="E292" i="3"/>
  <c r="E313" i="3"/>
  <c r="E160" i="3"/>
  <c r="E279" i="3"/>
  <c r="E70" i="3"/>
  <c r="E111" i="3"/>
  <c r="E236" i="3"/>
  <c r="E122" i="3"/>
  <c r="E179" i="3"/>
  <c r="E196" i="3"/>
  <c r="E325" i="3"/>
  <c r="E244" i="3"/>
  <c r="E333" i="3"/>
  <c r="E168" i="3"/>
  <c r="E342" i="3"/>
  <c r="E213" i="3"/>
  <c r="E93" i="3"/>
  <c r="E89" i="3"/>
  <c r="E64" i="3"/>
  <c r="E254" i="3"/>
  <c r="E319" i="3"/>
  <c r="E258" i="3"/>
  <c r="E299" i="3"/>
  <c r="E143" i="3"/>
  <c r="E282" i="3"/>
  <c r="E270" i="3"/>
  <c r="E59" i="3"/>
  <c r="E133" i="3"/>
  <c r="E211" i="3"/>
  <c r="E158" i="3"/>
  <c r="E102" i="3"/>
  <c r="E271" i="3"/>
  <c r="E154" i="3"/>
  <c r="E142" i="3"/>
  <c r="E109" i="3"/>
  <c r="E162" i="3"/>
  <c r="E246" i="3"/>
  <c r="E287" i="3"/>
  <c r="E301" i="3"/>
  <c r="E298" i="3"/>
  <c r="E121" i="3"/>
  <c r="E87" i="3"/>
  <c r="E216" i="3"/>
  <c r="E47" i="3"/>
  <c r="E172" i="3"/>
  <c r="E58" i="3"/>
  <c r="E115" i="3"/>
  <c r="E304" i="3"/>
  <c r="E177" i="3"/>
  <c r="E132" i="3"/>
  <c r="E181" i="3"/>
  <c r="E104" i="3"/>
  <c r="E113" i="3"/>
  <c r="E60" i="3"/>
  <c r="E228" i="3"/>
  <c r="E237" i="3"/>
  <c r="E128" i="3"/>
  <c r="E318" i="3"/>
  <c r="E322" i="3"/>
  <c r="E207" i="3"/>
  <c r="E123" i="3"/>
  <c r="E275" i="3"/>
  <c r="E139" i="3"/>
  <c r="E48" i="3"/>
  <c r="E345" i="3"/>
  <c r="E138" i="3"/>
  <c r="E55" i="3"/>
  <c r="E80" i="3"/>
  <c r="E49" i="3"/>
  <c r="E268" i="3"/>
  <c r="E69" i="3"/>
  <c r="E42" i="3"/>
  <c r="E277" i="3"/>
  <c r="E192" i="3"/>
  <c r="E174" i="3"/>
  <c r="E219" i="3"/>
  <c r="E316" i="3"/>
  <c r="E62" i="3"/>
  <c r="E248" i="3"/>
  <c r="E264" i="3"/>
  <c r="E150" i="3"/>
  <c r="E136" i="3"/>
  <c r="E152" i="3"/>
  <c r="E79" i="3"/>
  <c r="E260" i="3"/>
  <c r="E145" i="3"/>
  <c r="E82" i="3"/>
  <c r="E285" i="3"/>
  <c r="E54" i="3"/>
  <c r="E95" i="3"/>
  <c r="E220" i="3"/>
  <c r="E106" i="3"/>
  <c r="E163" i="3"/>
  <c r="E261" i="3"/>
  <c r="E98" i="3"/>
  <c r="E198" i="3"/>
  <c r="E239" i="3"/>
  <c r="E129" i="3"/>
  <c r="E250" i="3"/>
  <c r="E311" i="3"/>
  <c r="E110" i="3"/>
  <c r="E167" i="3"/>
  <c r="E114" i="3"/>
  <c r="E155" i="3"/>
  <c r="E296" i="3"/>
  <c r="E269" i="3"/>
  <c r="E124" i="3"/>
  <c r="E221" i="3"/>
  <c r="E67" i="3"/>
  <c r="E208" i="3"/>
  <c r="E344" i="3"/>
  <c r="E84" i="3"/>
  <c r="E45" i="3"/>
  <c r="E56" i="3"/>
  <c r="E140" i="3"/>
  <c r="E83" i="3"/>
  <c r="E71" i="3"/>
  <c r="E331" i="3"/>
  <c r="E290" i="3"/>
  <c r="E199" i="3"/>
  <c r="E116" i="3"/>
  <c r="E230" i="3"/>
  <c r="E265" i="3"/>
  <c r="E125" i="3"/>
  <c r="E97" i="3"/>
  <c r="E187" i="3"/>
  <c r="E203" i="3"/>
  <c r="E328" i="3"/>
  <c r="E321" i="3"/>
  <c r="E317" i="3"/>
  <c r="E165" i="3"/>
  <c r="E96" i="3"/>
  <c r="E215" i="3"/>
  <c r="E134" i="3"/>
  <c r="E175" i="3"/>
  <c r="E300" i="3"/>
  <c r="E186" i="3"/>
  <c r="E243" i="3"/>
  <c r="E46" i="3"/>
  <c r="E103" i="3"/>
  <c r="E50" i="3"/>
  <c r="E91" i="3"/>
  <c r="E232" i="3"/>
  <c r="E63" i="3"/>
  <c r="E188" i="3"/>
  <c r="E74" i="3"/>
  <c r="E131" i="3"/>
  <c r="E53" i="3"/>
  <c r="E209" i="3"/>
  <c r="E148" i="3"/>
  <c r="E217" i="3"/>
  <c r="E120" i="3"/>
  <c r="E204" i="3"/>
  <c r="E147" i="3"/>
  <c r="E135" i="3"/>
  <c r="E197" i="3"/>
  <c r="E315" i="3"/>
  <c r="E166" i="3"/>
  <c r="E57" i="3"/>
  <c r="E218" i="3"/>
  <c r="E206" i="3"/>
  <c r="E226" i="3"/>
  <c r="E182" i="3"/>
  <c r="E81" i="3"/>
  <c r="E291" i="3"/>
  <c r="E161" i="3"/>
  <c r="E332" i="3"/>
  <c r="E238" i="3"/>
  <c r="E242" i="3"/>
  <c r="E127" i="3"/>
  <c r="E195" i="3"/>
  <c r="E308" i="3"/>
  <c r="E184" i="3"/>
  <c r="E100" i="3"/>
  <c r="E274" i="3"/>
  <c r="E323" i="3"/>
  <c r="E77" i="3"/>
  <c r="E156" i="3"/>
  <c r="E272" i="3"/>
  <c r="E262" i="3"/>
  <c r="E314" i="3"/>
  <c r="E178" i="3"/>
  <c r="E191" i="3"/>
  <c r="E202" i="3"/>
  <c r="E66" i="3"/>
  <c r="E256" i="3"/>
  <c r="E180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D6" i="1" s="1"/>
  <c r="B13" i="1" l="1"/>
  <c r="D13" i="1" s="1"/>
  <c r="B8" i="1"/>
  <c r="D8" i="1" s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<sst xmlns="http://schemas.openxmlformats.org/spreadsheetml/2006/main" count="82" uniqueCount="56">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</sst>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workbookViewId="0">
      <selection activeCell="G18" sqref="G18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5" t="s">
        <v>29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6" t="s">
        <v>8</v>
      </c>
      <c r="C7" s="6">
        <f>101325*(1-(0.0000225577)*C13)^5.25588</f>
        <v>98945.32344781862</v>
      </c>
      <c r="D7" s="6"/>
      <c r="E7" s="6"/>
      <c r="F7" t="s">
        <v>14</v>
      </c>
      <c r="G7" t="s">
        <v>28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33</v>
      </c>
      <c r="B10" s="1" t="s">
        <v>8</v>
      </c>
      <c r="C10" s="1">
        <v>2</v>
      </c>
      <c r="D10" s="1"/>
      <c r="E10" s="1"/>
      <c r="F10" t="s">
        <v>25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26</v>
      </c>
      <c r="B13" s="1" t="s">
        <v>8</v>
      </c>
      <c r="C13" s="1">
        <v>200</v>
      </c>
      <c r="D13" s="1"/>
      <c r="E13" s="1"/>
      <c r="F13" t="s">
        <v>15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25">
      <c r="A17" s="1" t="s">
        <v>31</v>
      </c>
      <c r="B17" s="1" t="s">
        <v>8</v>
      </c>
      <c r="C17" s="1">
        <v>5</v>
      </c>
      <c r="D17" s="1"/>
      <c r="E17" s="1"/>
      <c r="G17" t="s">
        <v>55</v>
      </c>
    </row>
    <row r="19" spans="1:7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25">
      <c r="A20" s="1" t="s">
        <v>32</v>
      </c>
      <c r="B20" s="1" t="s">
        <v>8</v>
      </c>
      <c r="C20" s="1">
        <v>2</v>
      </c>
      <c r="D20" s="1"/>
      <c r="E20" s="1"/>
      <c r="F20" t="s">
        <v>15</v>
      </c>
    </row>
    <row r="22" spans="1:7" x14ac:dyDescent="0.25">
      <c r="C22" t="str">
        <f>IF(B23="Single value","Value",IF(B23="Range of values","Start",IF(B23="Monte Carlo","Mean","ERROR")))</f>
        <v>Value</v>
      </c>
      <c r="D22" t="str">
        <f>IF(B23="Single value","",IF(B23="Range of values","Step",IF(B23="Monte Carlo","Standard deviation","ERROR")))</f>
        <v/>
      </c>
      <c r="E22" t="str">
        <f>IF(B23="Single value","",IF(B23="Range of values","End",IF(B23="Monte Carlo","","ERROR")))</f>
        <v/>
      </c>
    </row>
    <row r="23" spans="1:7" x14ac:dyDescent="0.25">
      <c r="A23" s="1" t="s">
        <v>53</v>
      </c>
      <c r="B23" s="1" t="s">
        <v>8</v>
      </c>
      <c r="C23" s="1">
        <v>2</v>
      </c>
      <c r="D23" s="1"/>
      <c r="E23" s="1"/>
      <c r="F23" t="s">
        <v>54</v>
      </c>
    </row>
  </sheetData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 B23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tabSelected="1" zoomScaleNormal="100" workbookViewId="0">
      <selection activeCell="E21" sqref="E21"/>
    </sheetView>
  </sheetViews>
  <sheetFormatPr defaultRowHeight="15" x14ac:dyDescent="0.25"/>
  <cols>
    <col min="1" max="1" width="23.140625" bestFit="1" customWidth="1"/>
    <col min="2" max="2" width="15.42578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2" spans="1:5" x14ac:dyDescent="0.25">
      <c r="A2" t="s">
        <v>37</v>
      </c>
      <c r="B2" s="8">
        <v>0.15</v>
      </c>
    </row>
    <row r="3" spans="1:5" x14ac:dyDescent="0.25">
      <c r="B3" s="8"/>
    </row>
    <row r="4" spans="1:5" x14ac:dyDescent="0.25">
      <c r="A4" s="4" t="s">
        <v>24</v>
      </c>
      <c r="B4" s="4" t="s">
        <v>38</v>
      </c>
      <c r="C4" s="4" t="s">
        <v>40</v>
      </c>
      <c r="D4" s="4" t="s">
        <v>39</v>
      </c>
      <c r="E4" s="11" t="s">
        <v>41</v>
      </c>
    </row>
    <row r="5" spans="1:5" x14ac:dyDescent="0.25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25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25">
      <c r="A7" t="s">
        <v>21</v>
      </c>
      <c r="B7" s="2">
        <v>0.5</v>
      </c>
      <c r="D7">
        <f t="shared" si="0"/>
        <v>0.226796</v>
      </c>
    </row>
    <row r="8" spans="1:5" x14ac:dyDescent="0.25">
      <c r="A8" t="s">
        <v>19</v>
      </c>
      <c r="B8" s="2">
        <f>I11*I12</f>
        <v>0</v>
      </c>
      <c r="D8">
        <f t="shared" si="0"/>
        <v>0</v>
      </c>
    </row>
    <row r="9" spans="1:5" x14ac:dyDescent="0.25">
      <c r="A9" t="s">
        <v>18</v>
      </c>
      <c r="B9" s="2">
        <v>2.5</v>
      </c>
      <c r="D9">
        <f t="shared" si="0"/>
        <v>1.13398</v>
      </c>
    </row>
    <row r="10" spans="1:5" x14ac:dyDescent="0.25">
      <c r="A10" t="s">
        <v>17</v>
      </c>
      <c r="B10" s="2">
        <v>4</v>
      </c>
      <c r="D10">
        <f t="shared" si="0"/>
        <v>1.814368</v>
      </c>
    </row>
    <row r="11" spans="1:5" x14ac:dyDescent="0.25">
      <c r="A11" t="s">
        <v>16</v>
      </c>
      <c r="B11" s="2">
        <v>0</v>
      </c>
      <c r="D11">
        <f t="shared" si="0"/>
        <v>0</v>
      </c>
    </row>
    <row r="12" spans="1:5" x14ac:dyDescent="0.25">
      <c r="A12" t="s">
        <v>4</v>
      </c>
      <c r="B12" s="2">
        <v>2</v>
      </c>
      <c r="D12">
        <f t="shared" si="0"/>
        <v>0.90718399999999999</v>
      </c>
    </row>
    <row r="13" spans="1:5" x14ac:dyDescent="0.25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25">
      <c r="A14" t="s">
        <v>1</v>
      </c>
      <c r="B14" s="2">
        <v>1.5</v>
      </c>
      <c r="D14">
        <f t="shared" si="0"/>
        <v>0.68038799999999999</v>
      </c>
    </row>
    <row r="15" spans="1:5" x14ac:dyDescent="0.25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25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6" x14ac:dyDescent="0.25">
      <c r="C19" t="str">
        <f>IF(B20="Single value","Value",IF(B20="Range of values","Start",IF(B20="Monte Carlo","Mean","ERROR")))</f>
        <v>Start</v>
      </c>
      <c r="D19" t="str">
        <f>IF(B20="Single value","",IF(B20="Range of values","Step",IF(B20="Monte Carlo","Standard deviation","ERROR")))</f>
        <v>Step</v>
      </c>
      <c r="E19" t="str">
        <f>IF(B20="Single value","",IF(B20="Range of values","End",IF(B20="Monte Carlo","","ERROR")))</f>
        <v>End</v>
      </c>
      <c r="F19" t="s">
        <v>23</v>
      </c>
    </row>
    <row r="20" spans="1:6" x14ac:dyDescent="0.25">
      <c r="A20" s="1" t="s">
        <v>0</v>
      </c>
      <c r="B20" s="1" t="s">
        <v>9</v>
      </c>
      <c r="C20" s="3">
        <v>13</v>
      </c>
      <c r="D20" s="1">
        <v>0.5</v>
      </c>
      <c r="E20" s="3">
        <v>19</v>
      </c>
      <c r="F20" t="s">
        <v>3</v>
      </c>
    </row>
    <row r="23" spans="1:6" x14ac:dyDescent="0.25">
      <c r="B23" t="s">
        <v>30</v>
      </c>
      <c r="C23">
        <v>6.125</v>
      </c>
      <c r="F23" t="s">
        <v>5</v>
      </c>
    </row>
    <row r="24" spans="1:6" x14ac:dyDescent="0.25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6" x14ac:dyDescent="0.25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6" x14ac:dyDescent="0.25">
      <c r="A27" s="1" t="s">
        <v>35</v>
      </c>
      <c r="B27" s="1" t="s">
        <v>36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B20:B22 B25 B28</xm:sqref>
        </x14:dataValidation>
        <x14:dataValidation type="list" allowBlank="1" showInputMessage="1" showErrorMessage="1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workbookViewId="0">
      <selection activeCell="D18" sqref="D18"/>
    </sheetView>
  </sheetViews>
  <sheetFormatPr defaultRowHeight="15" x14ac:dyDescent="0.25"/>
  <cols>
    <col min="1" max="1" width="23.7109375" bestFit="1" customWidth="1"/>
    <col min="2" max="2" width="11.85546875" bestFit="1" customWidth="1"/>
  </cols>
  <sheetData>
    <row r="2" spans="1:7" x14ac:dyDescent="0.25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25">
      <c r="A3" s="1" t="s">
        <v>42</v>
      </c>
      <c r="B3" s="1" t="s">
        <v>8</v>
      </c>
      <c r="C3" s="3">
        <v>0</v>
      </c>
      <c r="D3" s="1"/>
      <c r="E3" s="3"/>
      <c r="F3" t="s">
        <v>43</v>
      </c>
      <c r="G3" t="s">
        <v>44</v>
      </c>
    </row>
    <row r="5" spans="1:7" x14ac:dyDescent="0.25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ht="17.25" x14ac:dyDescent="0.25">
      <c r="A6" s="1" t="s">
        <v>52</v>
      </c>
      <c r="B6" s="1" t="s">
        <v>8</v>
      </c>
      <c r="C6" s="3">
        <v>1</v>
      </c>
      <c r="D6" s="1"/>
      <c r="E6" s="3"/>
      <c r="F6" t="s">
        <v>48</v>
      </c>
    </row>
    <row r="8" spans="1:7" x14ac:dyDescent="0.25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7.25" x14ac:dyDescent="0.25">
      <c r="A9" s="1" t="s">
        <v>51</v>
      </c>
      <c r="B9" s="1" t="s">
        <v>8</v>
      </c>
      <c r="C9" s="3">
        <v>1</v>
      </c>
      <c r="D9" s="1"/>
      <c r="E9" s="3"/>
      <c r="F9" t="s">
        <v>50</v>
      </c>
    </row>
    <row r="11" spans="1:7" x14ac:dyDescent="0.25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25">
      <c r="A12" s="1" t="s">
        <v>45</v>
      </c>
      <c r="B12" s="1" t="s">
        <v>8</v>
      </c>
      <c r="C12" s="3">
        <v>200</v>
      </c>
      <c r="D12" s="1"/>
      <c r="E12" s="3"/>
      <c r="F12" t="s">
        <v>15</v>
      </c>
      <c r="G12" t="s">
        <v>46</v>
      </c>
    </row>
    <row r="14" spans="1:7" x14ac:dyDescent="0.25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25">
      <c r="A15" s="1" t="s">
        <v>47</v>
      </c>
      <c r="B15" s="1" t="s">
        <v>8</v>
      </c>
      <c r="C15" s="3">
        <v>1</v>
      </c>
      <c r="D15" s="1"/>
      <c r="E15" s="3"/>
      <c r="F15" t="s">
        <v>48</v>
      </c>
    </row>
    <row r="17" spans="1:6" x14ac:dyDescent="0.25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7.25" x14ac:dyDescent="0.25">
      <c r="A18" s="1" t="s">
        <v>49</v>
      </c>
      <c r="B18" s="1" t="s">
        <v>8</v>
      </c>
      <c r="C18" s="3">
        <v>5</v>
      </c>
      <c r="D18" s="1"/>
      <c r="E18" s="3"/>
      <c r="F18" t="s">
        <v>50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6"/>
  <sheetViews>
    <sheetView workbookViewId="0">
      <selection activeCell="B10" sqref="B10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Corey</cp:lastModifiedBy>
  <dcterms:created xsi:type="dcterms:W3CDTF">2017-08-26T18:54:19Z</dcterms:created>
  <dcterms:modified xsi:type="dcterms:W3CDTF">2018-09-29T18:54:15Z</dcterms:modified>
</cp:coreProperties>
</file>