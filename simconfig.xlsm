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c0069\Documents\GitHub\Simulation\"/>
    </mc:Choice>
  </mc:AlternateContent>
  <bookViews>
    <workbookView xWindow="0" yWindow="0" windowWidth="28800" windowHeight="12210" tabRatio="551" firstSheet="2" activeTab="5"/>
  </bookViews>
  <sheets>
    <sheet name="Simulation Conditions (Weather)" sheetId="2" r:id="rId1"/>
    <sheet name="Rocket Parameters (Mass)" sheetId="1" r:id="rId2"/>
    <sheet name="Engine Parameters" sheetId="4" r:id="rId3"/>
    <sheet name="Propellant Parameters (Tanks)" sheetId="5" r:id="rId4"/>
    <sheet name="Avionics Parameters" sheetId="6" r:id="rId5"/>
    <sheet name="Validation" sheetId="3" r:id="rId6"/>
  </sheets>
  <definedNames>
    <definedName name="MotorList">FILES(Validation!$E$1)</definedName>
  </definedNames>
  <calcPr calcId="162913"/>
</workbook>
</file>

<file path=xl/calcChain.xml><?xml version="1.0" encoding="utf-8"?>
<calcChain xmlns="http://schemas.openxmlformats.org/spreadsheetml/2006/main">
  <c r="C38" i="5" l="1"/>
  <c r="C41" i="5"/>
  <c r="F5" i="3"/>
  <c r="F9" i="3"/>
  <c r="F13" i="3"/>
  <c r="F17" i="3"/>
  <c r="F21" i="3"/>
  <c r="E26" i="3"/>
  <c r="E30" i="3"/>
  <c r="F6" i="3"/>
  <c r="F10" i="3"/>
  <c r="F14" i="3"/>
  <c r="F18" i="3"/>
  <c r="E23" i="3"/>
  <c r="E27" i="3"/>
  <c r="E31" i="3"/>
  <c r="F3" i="3"/>
  <c r="F7" i="3"/>
  <c r="F11" i="3"/>
  <c r="F15" i="3"/>
  <c r="F19" i="3"/>
  <c r="E24" i="3"/>
  <c r="E28" i="3"/>
  <c r="F4" i="3"/>
  <c r="F8" i="3"/>
  <c r="F12" i="3"/>
  <c r="F16" i="3"/>
  <c r="F20" i="3"/>
  <c r="E25" i="3"/>
  <c r="E29" i="3"/>
  <c r="F2" i="3"/>
  <c r="E34" i="3"/>
  <c r="E38" i="3"/>
  <c r="E42" i="3"/>
  <c r="E46" i="3"/>
  <c r="E50" i="3"/>
  <c r="E54" i="3"/>
  <c r="E58" i="3"/>
  <c r="E62" i="3"/>
  <c r="E6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206" i="3"/>
  <c r="E210" i="3"/>
  <c r="E214" i="3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E310" i="3"/>
  <c r="E314" i="3"/>
  <c r="E318" i="3"/>
  <c r="E322" i="3"/>
  <c r="E326" i="3"/>
  <c r="E330" i="3"/>
  <c r="E334" i="3"/>
  <c r="E338" i="3"/>
  <c r="E342" i="3"/>
  <c r="E346" i="3"/>
  <c r="E307" i="3"/>
  <c r="E315" i="3"/>
  <c r="E323" i="3"/>
  <c r="E327" i="3"/>
  <c r="E335" i="3"/>
  <c r="E339" i="3"/>
  <c r="E328" i="3"/>
  <c r="E332" i="3"/>
  <c r="E344" i="3"/>
  <c r="E45" i="3"/>
  <c r="E73" i="3"/>
  <c r="E89" i="3"/>
  <c r="E97" i="3"/>
  <c r="E109" i="3"/>
  <c r="E113" i="3"/>
  <c r="E125" i="3"/>
  <c r="E137" i="3"/>
  <c r="E141" i="3"/>
  <c r="E153" i="3"/>
  <c r="E165" i="3"/>
  <c r="E177" i="3"/>
  <c r="E181" i="3"/>
  <c r="E193" i="3"/>
  <c r="E205" i="3"/>
  <c r="E209" i="3"/>
  <c r="E217" i="3"/>
  <c r="E229" i="3"/>
  <c r="E237" i="3"/>
  <c r="E245" i="3"/>
  <c r="E257" i="3"/>
  <c r="E269" i="3"/>
  <c r="E273" i="3"/>
  <c r="E285" i="3"/>
  <c r="E293" i="3"/>
  <c r="E305" i="3"/>
  <c r="E313" i="3"/>
  <c r="E325" i="3"/>
  <c r="E333" i="3"/>
  <c r="E341" i="3"/>
  <c r="E35" i="3"/>
  <c r="E39" i="3"/>
  <c r="E43" i="3"/>
  <c r="E47" i="3"/>
  <c r="E51" i="3"/>
  <c r="E55" i="3"/>
  <c r="E59" i="3"/>
  <c r="E63" i="3"/>
  <c r="E67" i="3"/>
  <c r="E71" i="3"/>
  <c r="E75" i="3"/>
  <c r="E79" i="3"/>
  <c r="E83" i="3"/>
  <c r="E87" i="3"/>
  <c r="E91" i="3"/>
  <c r="E95" i="3"/>
  <c r="E99" i="3"/>
  <c r="E103" i="3"/>
  <c r="E107" i="3"/>
  <c r="E111" i="3"/>
  <c r="E115" i="3"/>
  <c r="E119" i="3"/>
  <c r="E123" i="3"/>
  <c r="E127" i="3"/>
  <c r="E131" i="3"/>
  <c r="E135" i="3"/>
  <c r="E139" i="3"/>
  <c r="E143" i="3"/>
  <c r="E147" i="3"/>
  <c r="E151" i="3"/>
  <c r="E155" i="3"/>
  <c r="E159" i="3"/>
  <c r="E163" i="3"/>
  <c r="E167" i="3"/>
  <c r="E171" i="3"/>
  <c r="E175" i="3"/>
  <c r="E179" i="3"/>
  <c r="E183" i="3"/>
  <c r="E187" i="3"/>
  <c r="E191" i="3"/>
  <c r="E195" i="3"/>
  <c r="E199" i="3"/>
  <c r="E203" i="3"/>
  <c r="E207" i="3"/>
  <c r="E211" i="3"/>
  <c r="E215" i="3"/>
  <c r="E219" i="3"/>
  <c r="E223" i="3"/>
  <c r="E227" i="3"/>
  <c r="E231" i="3"/>
  <c r="E235" i="3"/>
  <c r="E239" i="3"/>
  <c r="E243" i="3"/>
  <c r="E247" i="3"/>
  <c r="E251" i="3"/>
  <c r="E255" i="3"/>
  <c r="E259" i="3"/>
  <c r="E263" i="3"/>
  <c r="E267" i="3"/>
  <c r="E271" i="3"/>
  <c r="E275" i="3"/>
  <c r="E279" i="3"/>
  <c r="E283" i="3"/>
  <c r="E287" i="3"/>
  <c r="E291" i="3"/>
  <c r="E295" i="3"/>
  <c r="E299" i="3"/>
  <c r="E303" i="3"/>
  <c r="E311" i="3"/>
  <c r="E319" i="3"/>
  <c r="E331" i="3"/>
  <c r="E343" i="3"/>
  <c r="E336" i="3"/>
  <c r="E37" i="3"/>
  <c r="E49" i="3"/>
  <c r="E57" i="3"/>
  <c r="E65" i="3"/>
  <c r="E77" i="3"/>
  <c r="E85" i="3"/>
  <c r="E105" i="3"/>
  <c r="E121" i="3"/>
  <c r="E133" i="3"/>
  <c r="E149" i="3"/>
  <c r="E161" i="3"/>
  <c r="E173" i="3"/>
  <c r="E189" i="3"/>
  <c r="E197" i="3"/>
  <c r="E213" i="3"/>
  <c r="E225" i="3"/>
  <c r="E241" i="3"/>
  <c r="E253" i="3"/>
  <c r="E265" i="3"/>
  <c r="E281" i="3"/>
  <c r="E289" i="3"/>
  <c r="E309" i="3"/>
  <c r="E321" i="3"/>
  <c r="E337" i="3"/>
  <c r="E36" i="3"/>
  <c r="E40" i="3"/>
  <c r="E44" i="3"/>
  <c r="E48" i="3"/>
  <c r="E52" i="3"/>
  <c r="E56" i="3"/>
  <c r="E60" i="3"/>
  <c r="E64" i="3"/>
  <c r="E68" i="3"/>
  <c r="E72" i="3"/>
  <c r="E76" i="3"/>
  <c r="E80" i="3"/>
  <c r="E84" i="3"/>
  <c r="E88" i="3"/>
  <c r="E92" i="3"/>
  <c r="E96" i="3"/>
  <c r="E100" i="3"/>
  <c r="E104" i="3"/>
  <c r="E108" i="3"/>
  <c r="E112" i="3"/>
  <c r="E116" i="3"/>
  <c r="E120" i="3"/>
  <c r="E124" i="3"/>
  <c r="E128" i="3"/>
  <c r="E132" i="3"/>
  <c r="E136" i="3"/>
  <c r="E140" i="3"/>
  <c r="E144" i="3"/>
  <c r="E148" i="3"/>
  <c r="E152" i="3"/>
  <c r="E156" i="3"/>
  <c r="E160" i="3"/>
  <c r="E164" i="3"/>
  <c r="E168" i="3"/>
  <c r="E172" i="3"/>
  <c r="E176" i="3"/>
  <c r="E180" i="3"/>
  <c r="E184" i="3"/>
  <c r="E188" i="3"/>
  <c r="E192" i="3"/>
  <c r="E196" i="3"/>
  <c r="E200" i="3"/>
  <c r="E204" i="3"/>
  <c r="E208" i="3"/>
  <c r="E212" i="3"/>
  <c r="E216" i="3"/>
  <c r="E220" i="3"/>
  <c r="E224" i="3"/>
  <c r="E228" i="3"/>
  <c r="E232" i="3"/>
  <c r="E236" i="3"/>
  <c r="E240" i="3"/>
  <c r="E244" i="3"/>
  <c r="E248" i="3"/>
  <c r="E252" i="3"/>
  <c r="E256" i="3"/>
  <c r="E260" i="3"/>
  <c r="E264" i="3"/>
  <c r="E268" i="3"/>
  <c r="E272" i="3"/>
  <c r="E276" i="3"/>
  <c r="E280" i="3"/>
  <c r="E284" i="3"/>
  <c r="E288" i="3"/>
  <c r="E292" i="3"/>
  <c r="E296" i="3"/>
  <c r="E300" i="3"/>
  <c r="E304" i="3"/>
  <c r="E308" i="3"/>
  <c r="E312" i="3"/>
  <c r="E316" i="3"/>
  <c r="E320" i="3"/>
  <c r="E324" i="3"/>
  <c r="E340" i="3"/>
  <c r="E41" i="3"/>
  <c r="E53" i="3"/>
  <c r="E61" i="3"/>
  <c r="E69" i="3"/>
  <c r="E81" i="3"/>
  <c r="E93" i="3"/>
  <c r="E101" i="3"/>
  <c r="E117" i="3"/>
  <c r="E129" i="3"/>
  <c r="E145" i="3"/>
  <c r="E157" i="3"/>
  <c r="E169" i="3"/>
  <c r="E185" i="3"/>
  <c r="E201" i="3"/>
  <c r="E221" i="3"/>
  <c r="E233" i="3"/>
  <c r="E249" i="3"/>
  <c r="E261" i="3"/>
  <c r="E277" i="3"/>
  <c r="E297" i="3"/>
  <c r="E301" i="3"/>
  <c r="E317" i="3"/>
  <c r="E329" i="3"/>
  <c r="E345" i="3"/>
  <c r="E33" i="3"/>
  <c r="E32" i="3"/>
  <c r="E12" i="6" l="1"/>
  <c r="D12" i="6"/>
  <c r="C12" i="6"/>
  <c r="E9" i="6"/>
  <c r="D9" i="6"/>
  <c r="C9" i="6"/>
  <c r="E6" i="6"/>
  <c r="D6" i="6"/>
  <c r="C6" i="6"/>
  <c r="E3" i="6"/>
  <c r="D3" i="6"/>
  <c r="C3" i="6"/>
  <c r="E18" i="5" l="1"/>
  <c r="D18" i="5"/>
  <c r="C18" i="5"/>
  <c r="E8" i="5" l="1"/>
  <c r="D8" i="5"/>
  <c r="C8" i="5"/>
  <c r="E13" i="5"/>
  <c r="D13" i="5"/>
  <c r="C13" i="5"/>
  <c r="E28" i="2" l="1"/>
  <c r="D28" i="2"/>
  <c r="C28" i="2"/>
  <c r="E25" i="2" l="1"/>
  <c r="D25" i="2"/>
  <c r="C25" i="2"/>
  <c r="E51" i="5" l="1"/>
  <c r="D51" i="5"/>
  <c r="C51" i="5"/>
  <c r="E49" i="5"/>
  <c r="D49" i="5"/>
  <c r="C49" i="5"/>
  <c r="E47" i="5"/>
  <c r="D47" i="5"/>
  <c r="C47" i="5"/>
  <c r="E44" i="5"/>
  <c r="D44" i="5"/>
  <c r="C44" i="5"/>
  <c r="E40" i="5"/>
  <c r="D40" i="5"/>
  <c r="C40" i="5"/>
  <c r="E37" i="5"/>
  <c r="D37" i="5"/>
  <c r="C37" i="5"/>
  <c r="E50" i="5"/>
  <c r="C50" i="5"/>
  <c r="E3" i="2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36" i="1"/>
  <c r="C4" i="5" l="1"/>
  <c r="C14" i="5" s="1"/>
  <c r="E32" i="5" l="1"/>
  <c r="D32" i="5"/>
  <c r="C32" i="5"/>
  <c r="E29" i="5"/>
  <c r="D29" i="5"/>
  <c r="C29" i="5"/>
  <c r="B4" i="1" l="1"/>
  <c r="K13" i="1"/>
  <c r="J13" i="1"/>
  <c r="I13" i="1"/>
  <c r="R13" i="1"/>
  <c r="Q13" i="1"/>
  <c r="P13" i="1"/>
  <c r="P8" i="1" l="1"/>
  <c r="B12" i="1" s="1"/>
  <c r="E6" i="1" s="1"/>
  <c r="E9" i="1" s="1"/>
  <c r="P9" i="1"/>
  <c r="B7" i="1"/>
  <c r="K9" i="1"/>
  <c r="J9" i="1"/>
  <c r="I9" i="1"/>
  <c r="I1" i="1"/>
  <c r="J1" i="1"/>
  <c r="K1" i="1"/>
  <c r="P1" i="1"/>
  <c r="Q1" i="1"/>
  <c r="R1" i="1"/>
  <c r="P4" i="1"/>
  <c r="Q4" i="1"/>
  <c r="R4" i="1"/>
  <c r="P7" i="1"/>
  <c r="Q7" i="1"/>
  <c r="R7" i="1"/>
  <c r="I5" i="1"/>
  <c r="J5" i="1"/>
  <c r="K5" i="1"/>
  <c r="B3" i="1"/>
  <c r="B14" i="1" l="1"/>
  <c r="C13" i="2"/>
  <c r="C7" i="2" s="1"/>
  <c r="N22" i="5"/>
  <c r="C23" i="5"/>
  <c r="C45" i="5" s="1"/>
  <c r="K20" i="5" s="1"/>
  <c r="N20" i="5" s="1"/>
  <c r="N19" i="5"/>
  <c r="C27" i="5" l="1"/>
  <c r="C25" i="5"/>
  <c r="C6" i="5" l="1"/>
  <c r="C48" i="5" l="1"/>
  <c r="K21" i="5" s="1"/>
  <c r="N21" i="5" s="1"/>
  <c r="N23" i="5" s="1"/>
  <c r="C16" i="5"/>
  <c r="J8" i="5"/>
  <c r="C21" i="5" s="1"/>
  <c r="E3" i="5" l="1"/>
  <c r="D3" i="5"/>
  <c r="C3" i="5"/>
  <c r="E35" i="1"/>
  <c r="D35" i="1"/>
  <c r="C35" i="1"/>
  <c r="E30" i="1"/>
  <c r="C30" i="1"/>
  <c r="D30" i="1"/>
</calcChain>
</file>

<file path=xl/sharedStrings.xml><?xml version="1.0" encoding="utf-8"?>
<sst xmlns="http://schemas.openxmlformats.org/spreadsheetml/2006/main" count="245" uniqueCount="117">
  <si>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</si>
  <si>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</si>
  <si>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</si>
  <si>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</si>
  <si>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</si>
  <si>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</si>
  <si>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</si>
  <si>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</si>
  <si>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</si>
  <si>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</si>
  <si>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</si>
  <si>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</si>
  <si>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</si>
  <si>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</si>
  <si>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</si>
  <si>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Oxidizer volume</t>
  </si>
  <si>
    <t>m</t>
  </si>
  <si>
    <t>Engine</t>
  </si>
  <si>
    <t>Payload</t>
  </si>
  <si>
    <t>Recovery</t>
  </si>
  <si>
    <t>Couplers</t>
  </si>
  <si>
    <t>Bulkheads</t>
  </si>
  <si>
    <t>Valves</t>
  </si>
  <si>
    <t>Engine controller</t>
  </si>
  <si>
    <t>Lines</t>
  </si>
  <si>
    <t>Fuel volume</t>
  </si>
  <si>
    <t>Length (Straight section)</t>
  </si>
  <si>
    <t>in^3</t>
  </si>
  <si>
    <t>INPUTS</t>
  </si>
  <si>
    <t>OUTPUTS</t>
  </si>
  <si>
    <t>End Caps Volume</t>
  </si>
  <si>
    <t>Inner Diameter</t>
  </si>
  <si>
    <t>Units</t>
  </si>
  <si>
    <t>lb</t>
  </si>
  <si>
    <t>Bulkhead Thickness</t>
  </si>
  <si>
    <t>Outer Diameter</t>
  </si>
  <si>
    <t>Ox Tank</t>
  </si>
  <si>
    <t>Fuel Tank</t>
  </si>
  <si>
    <t>Mass</t>
  </si>
  <si>
    <t>Item</t>
  </si>
  <si>
    <t>Ox Mass</t>
  </si>
  <si>
    <t>Fuel Mass</t>
  </si>
  <si>
    <t>m^3</t>
  </si>
  <si>
    <t>in^3 to m^3</t>
  </si>
  <si>
    <t>in to m</t>
  </si>
  <si>
    <t>Degrees</t>
  </si>
  <si>
    <t>Launch Altitude</t>
  </si>
  <si>
    <t>Tank Mass Calculation</t>
  </si>
  <si>
    <t>Component</t>
  </si>
  <si>
    <t>Unit</t>
  </si>
  <si>
    <t>End Cap</t>
  </si>
  <si>
    <t>Quantity</t>
  </si>
  <si>
    <t>lbm</t>
  </si>
  <si>
    <t>Subtotal Mass</t>
  </si>
  <si>
    <t>Ox Cylinder</t>
  </si>
  <si>
    <t>Fuel Cylinder</t>
  </si>
  <si>
    <t>lbm/in</t>
  </si>
  <si>
    <t>Interpropellant Bulkhead</t>
  </si>
  <si>
    <t>Total Mass</t>
  </si>
  <si>
    <t>DO NOT INPUT, CALCULATED FROM LAUNCH ALTITUDE. Need to implement temperature compensation</t>
  </si>
  <si>
    <t>Fins:</t>
  </si>
  <si>
    <t>Length</t>
  </si>
  <si>
    <t>Material Density</t>
  </si>
  <si>
    <t>kg/m^3</t>
  </si>
  <si>
    <t>Body Tube:</t>
  </si>
  <si>
    <t>Bulkheads:</t>
  </si>
  <si>
    <t>#</t>
  </si>
  <si>
    <t>Recovery:</t>
  </si>
  <si>
    <t>Nose Cone:</t>
  </si>
  <si>
    <t>Outer Dia.</t>
  </si>
  <si>
    <t>Inner Dia.</t>
  </si>
  <si>
    <t>Couplers:</t>
  </si>
  <si>
    <t>Valves:</t>
  </si>
  <si>
    <t>Lines:</t>
  </si>
  <si>
    <t xml:space="preserve">Linear Density </t>
  </si>
  <si>
    <t>kg/m</t>
  </si>
  <si>
    <t>Length (total)</t>
  </si>
  <si>
    <t>Truth of Consequences US Climate Data</t>
  </si>
  <si>
    <t>Oxidizer Valve Cv</t>
  </si>
  <si>
    <t>Fuel Valve Cv</t>
  </si>
  <si>
    <t>Fuel temperature</t>
  </si>
  <si>
    <t>Oxidizer temperature</t>
  </si>
  <si>
    <t>Diameter</t>
  </si>
  <si>
    <t>Length (straight section)</t>
  </si>
  <si>
    <t># of Monte Carlo runs</t>
  </si>
  <si>
    <t>Rail length (effective)</t>
  </si>
  <si>
    <t>Launch angle</t>
  </si>
  <si>
    <t>Sensor Modelling</t>
  </si>
  <si>
    <t>Accelerometer stddev</t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</si>
  <si>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</si>
  <si>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t>Average of X, Y, and Z values from a stationary tabletop test</t>
  </si>
  <si>
    <t>Total pressure sensor stddev</t>
  </si>
  <si>
    <t>Currently completely made up</t>
  </si>
  <si>
    <t>Tank Volumes</t>
  </si>
  <si>
    <t>Oxidizer tank volume</t>
  </si>
  <si>
    <t>Fuel tank volume</t>
  </si>
  <si>
    <t>Oxidizer ullage volume</t>
  </si>
  <si>
    <t>Fuel ullage volume</t>
  </si>
  <si>
    <t>N2 Ullage, set to 0% for none</t>
  </si>
  <si>
    <t>Fuel Diverted to Film Cooling</t>
  </si>
  <si>
    <t>Fudge</t>
  </si>
  <si>
    <t>Factor</t>
  </si>
  <si>
    <t>New Mass</t>
  </si>
  <si>
    <t>Fluids</t>
  </si>
  <si>
    <t>Avionics</t>
  </si>
  <si>
    <t>Airframe</t>
  </si>
  <si>
    <t>Ground Station Distance</t>
  </si>
  <si>
    <t>Frequency</t>
  </si>
  <si>
    <t>MHz</t>
  </si>
  <si>
    <t>Transmit Power</t>
  </si>
  <si>
    <t>dBm</t>
  </si>
  <si>
    <t>Receive Sensitivity</t>
  </si>
  <si>
    <t>Motor</t>
  </si>
  <si>
    <t>Setting</t>
  </si>
  <si>
    <t>Value</t>
  </si>
  <si>
    <t>AeroTech_L1390</t>
  </si>
  <si>
    <t>Motors\*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</si>
</sst>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35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3" borderId="0" xfId="1"/>
    <xf numFmtId="0" fontId="2" fillId="0" borderId="1" xfId="0" applyFont="1" applyBorder="1"/>
    <xf numFmtId="11" fontId="0" fillId="0" borderId="0" xfId="0" applyNumberFormat="1"/>
    <xf numFmtId="2" fontId="1" fillId="3" borderId="0" xfId="1" applyNumberFormat="1"/>
    <xf numFmtId="164" fontId="0" fillId="2" borderId="0" xfId="0" applyNumberFormat="1" applyFill="1"/>
    <xf numFmtId="11" fontId="0" fillId="2" borderId="0" xfId="0" applyNumberFormat="1" applyFill="1"/>
    <xf numFmtId="0" fontId="3" fillId="0" borderId="0" xfId="2"/>
    <xf numFmtId="0" fontId="0" fillId="4" borderId="0" xfId="0" applyFill="1"/>
    <xf numFmtId="0" fontId="2" fillId="0" borderId="0" xfId="0" applyFont="1"/>
    <xf numFmtId="165" fontId="0" fillId="0" borderId="0" xfId="0" applyNumberFormat="1"/>
    <xf numFmtId="165" fontId="2" fillId="0" borderId="0" xfId="0" applyNumberFormat="1" applyFont="1"/>
    <xf numFmtId="0" fontId="0" fillId="2" borderId="0" xfId="0" applyNumberFormat="1" applyFill="1"/>
    <xf numFmtId="0" fontId="0" fillId="0" borderId="0" xfId="0" applyFill="1"/>
    <xf numFmtId="164" fontId="0" fillId="0" borderId="0" xfId="0" applyNumberFormat="1" applyFill="1"/>
    <xf numFmtId="2" fontId="1" fillId="0" borderId="0" xfId="1" applyNumberFormat="1" applyFill="1"/>
    <xf numFmtId="0" fontId="1" fillId="0" borderId="0" xfId="1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2" borderId="2" xfId="0" applyFill="1" applyBorder="1"/>
    <xf numFmtId="0" fontId="0" fillId="2" borderId="0" xfId="0" applyFill="1" applyBorder="1"/>
    <xf numFmtId="11" fontId="0" fillId="2" borderId="0" xfId="0" applyNumberFormat="1" applyFill="1" applyBorder="1"/>
    <xf numFmtId="9" fontId="0" fillId="2" borderId="0" xfId="3" applyFont="1" applyFill="1" applyBorder="1"/>
    <xf numFmtId="0" fontId="0" fillId="2" borderId="4" xfId="0" applyFill="1" applyBorder="1"/>
    <xf numFmtId="0" fontId="0" fillId="2" borderId="1" xfId="0" applyFill="1" applyBorder="1"/>
    <xf numFmtId="11" fontId="0" fillId="2" borderId="1" xfId="0" applyNumberFormat="1" applyFill="1" applyBorder="1"/>
    <xf numFmtId="0" fontId="0" fillId="0" borderId="5" xfId="0" applyBorder="1"/>
    <xf numFmtId="9" fontId="0" fillId="0" borderId="0" xfId="0" applyNumberFormat="1"/>
    <xf numFmtId="9" fontId="0" fillId="2" borderId="0" xfId="0" applyNumberFormat="1" applyFill="1" applyBorder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</cellXfs>
  <cellStyles count="4">
    <cellStyle name="20% - Accent1" xfId="1" builtinId="30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K16" sqref="K16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10" t="s">
        <v>77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11" t="s">
        <v>8</v>
      </c>
      <c r="C7" s="11">
        <f>101325*(1-(0.0000225577)*C13)^5.25588</f>
        <v>85589.183879933975</v>
      </c>
      <c r="D7" s="11"/>
      <c r="E7" s="11"/>
      <c r="F7" t="s">
        <v>14</v>
      </c>
      <c r="G7" t="s">
        <v>59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86</v>
      </c>
      <c r="B10" s="1" t="s">
        <v>8</v>
      </c>
      <c r="C10" s="1">
        <v>6</v>
      </c>
      <c r="D10" s="1"/>
      <c r="E10" s="1"/>
      <c r="F10" t="s">
        <v>45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46</v>
      </c>
      <c r="B13" s="1" t="s">
        <v>8</v>
      </c>
      <c r="C13" s="1">
        <f>4595/3.28</f>
        <v>1400.9146341463415</v>
      </c>
      <c r="D13" s="1"/>
      <c r="E13" s="1"/>
      <c r="F13" t="s">
        <v>16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84</v>
      </c>
      <c r="B17" s="1" t="s">
        <v>8</v>
      </c>
      <c r="C17" s="1">
        <v>5</v>
      </c>
      <c r="D17" s="1"/>
      <c r="E17" s="1"/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85</v>
      </c>
      <c r="B20" s="1" t="s">
        <v>8</v>
      </c>
      <c r="C20" s="1">
        <v>5</v>
      </c>
      <c r="D20" s="1"/>
      <c r="E20" s="1"/>
      <c r="F20" t="s">
        <v>16</v>
      </c>
    </row>
    <row r="24" spans="1:7" x14ac:dyDescent="0.25">
      <c r="A24" s="33" t="s">
        <v>87</v>
      </c>
      <c r="B24" s="33"/>
      <c r="C24" s="33"/>
      <c r="D24" s="33"/>
      <c r="E24" s="33"/>
    </row>
    <row r="25" spans="1:7" x14ac:dyDescent="0.25">
      <c r="C25" t="str">
        <f>IF(B26="Single value","Value",IF(B26="Range of values","Start",IF(B26="Monte Carlo","Mean","ERROR")))</f>
        <v>Value</v>
      </c>
      <c r="D25" t="str">
        <f>IF(B26="Single value","",IF(B26="Range of values","Step",IF(B26="Monte Carlo","Standard deviation","ERROR")))</f>
        <v/>
      </c>
      <c r="E25" t="str">
        <f>IF(B26="Single value","",IF(B26="Range of values","End",IF(B26="Monte Carlo","","ERROR")))</f>
        <v/>
      </c>
    </row>
    <row r="26" spans="1:7" ht="17.25" x14ac:dyDescent="0.25">
      <c r="A26" s="1" t="s">
        <v>88</v>
      </c>
      <c r="B26" s="1" t="s">
        <v>8</v>
      </c>
      <c r="C26" s="1">
        <v>3.353376168248183E-2</v>
      </c>
      <c r="D26" s="1"/>
      <c r="E26" s="1"/>
      <c r="F26" t="s">
        <v>89</v>
      </c>
      <c r="G26" t="s">
        <v>90</v>
      </c>
    </row>
    <row r="28" spans="1:7" x14ac:dyDescent="0.25">
      <c r="C28" t="str">
        <f>IF(B29="Single value","Value",IF(B29="Range of values","Start",IF(B29="Monte Carlo","Mean","ERROR")))</f>
        <v>Value</v>
      </c>
      <c r="D28" t="str">
        <f>IF(B29="Single value","",IF(B29="Range of values","Step",IF(B29="Monte Carlo","Standard deviation","ERROR")))</f>
        <v/>
      </c>
      <c r="E28" t="str">
        <f>IF(B29="Single value","",IF(B29="Range of values","End",IF(B29="Monte Carlo","","ERROR")))</f>
        <v/>
      </c>
    </row>
    <row r="29" spans="1:7" x14ac:dyDescent="0.25">
      <c r="A29" s="1" t="s">
        <v>91</v>
      </c>
      <c r="B29" s="1" t="s">
        <v>8</v>
      </c>
      <c r="C29" s="1">
        <v>10</v>
      </c>
      <c r="D29" s="1"/>
      <c r="E29" s="1"/>
      <c r="F29" t="s">
        <v>14</v>
      </c>
      <c r="G29" t="s">
        <v>92</v>
      </c>
    </row>
  </sheetData>
  <mergeCells count="1">
    <mergeCell ref="A24:E24"/>
  </mergeCells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B26 B29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6"/>
  <sheetViews>
    <sheetView zoomScaleNormal="100" workbookViewId="0">
      <selection activeCell="C19" sqref="C19"/>
    </sheetView>
  </sheetViews>
  <sheetFormatPr defaultRowHeight="15" x14ac:dyDescent="0.25"/>
  <cols>
    <col min="1" max="1" width="16.28515625" bestFit="1" customWidth="1"/>
    <col min="2" max="2" width="12.5703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1" spans="1:19" x14ac:dyDescent="0.25">
      <c r="G1" s="12" t="s">
        <v>60</v>
      </c>
      <c r="I1" t="str">
        <f>IF(H2="Single value","Value",IF(H2="Range of values","Start",IF(H2="Monte Carlo","Mean","ERROR")))</f>
        <v>Value</v>
      </c>
      <c r="J1" t="str">
        <f>IF(H2="Single value","",IF(H2="Range of values","Step",IF(H2="Monte Carlo","Standard deviation","ERROR")))</f>
        <v/>
      </c>
      <c r="K1" t="str">
        <f>IF(H2="Single value","",IF(H2="Range of values","End",IF(H2="Monte Carlo","","ERROR")))</f>
        <v/>
      </c>
      <c r="L1" t="s">
        <v>32</v>
      </c>
      <c r="N1" s="12" t="s">
        <v>67</v>
      </c>
      <c r="P1" t="str">
        <f>IF(O2="Single value","Value",IF(O2="Range of values","Start",IF(O2="Monte Carlo","Mean","ERROR")))</f>
        <v>Value</v>
      </c>
      <c r="Q1" t="str">
        <f>IF(O2="Single value","",IF(O2="Range of values","Step",IF(O2="Monte Carlo","Standard deviation","ERROR")))</f>
        <v/>
      </c>
      <c r="R1" t="str">
        <f>IF(O2="Single value","",IF(O2="Range of values","End",IF(O2="Monte Carlo","","ERROR")))</f>
        <v/>
      </c>
      <c r="S1" t="s">
        <v>32</v>
      </c>
    </row>
    <row r="2" spans="1:19" x14ac:dyDescent="0.25">
      <c r="A2" s="5" t="s">
        <v>39</v>
      </c>
      <c r="B2" s="5" t="s">
        <v>38</v>
      </c>
      <c r="C2" s="5" t="s">
        <v>32</v>
      </c>
      <c r="D2" s="12" t="s">
        <v>102</v>
      </c>
      <c r="G2" s="1" t="s">
        <v>38</v>
      </c>
      <c r="H2" s="1" t="s">
        <v>8</v>
      </c>
      <c r="I2" s="15">
        <v>1</v>
      </c>
      <c r="J2" s="1"/>
      <c r="K2" s="1"/>
      <c r="L2" t="s">
        <v>3</v>
      </c>
      <c r="N2" s="1" t="s">
        <v>38</v>
      </c>
      <c r="O2" s="1" t="s">
        <v>8</v>
      </c>
      <c r="P2" s="15">
        <v>1</v>
      </c>
      <c r="Q2" s="1"/>
      <c r="R2" s="1"/>
      <c r="S2" t="s">
        <v>3</v>
      </c>
    </row>
    <row r="3" spans="1:19" x14ac:dyDescent="0.25">
      <c r="A3" t="s">
        <v>21</v>
      </c>
      <c r="B3" s="2">
        <f>I6*I7</f>
        <v>1</v>
      </c>
      <c r="C3" t="s">
        <v>3</v>
      </c>
      <c r="D3" t="s">
        <v>103</v>
      </c>
      <c r="E3">
        <v>15</v>
      </c>
      <c r="G3" s="1" t="s">
        <v>51</v>
      </c>
      <c r="H3" s="1" t="s">
        <v>8</v>
      </c>
      <c r="I3" s="15">
        <v>4</v>
      </c>
      <c r="J3" s="1"/>
      <c r="K3" s="1"/>
      <c r="L3" t="s">
        <v>66</v>
      </c>
    </row>
    <row r="4" spans="1:19" x14ac:dyDescent="0.25">
      <c r="A4" t="s">
        <v>24</v>
      </c>
      <c r="B4" s="2">
        <f>I14*I15</f>
        <v>1</v>
      </c>
      <c r="C4" t="s">
        <v>3</v>
      </c>
      <c r="D4" t="s">
        <v>17</v>
      </c>
      <c r="E4">
        <v>4</v>
      </c>
      <c r="N4" s="12" t="s">
        <v>68</v>
      </c>
      <c r="P4" t="str">
        <f>IF(O5="Single value","Value",IF(O5="Range of values","Start",IF(O5="Monte Carlo","Mean","ERROR")))</f>
        <v>Value</v>
      </c>
      <c r="Q4" t="str">
        <f>IF(O5="Single value","",IF(O5="Range of values","Step",IF(O5="Monte Carlo","Standard deviation","ERROR")))</f>
        <v/>
      </c>
      <c r="R4" t="str">
        <f>IF(O5="Single value","",IF(O5="Range of values","End",IF(O5="Monte Carlo","","ERROR")))</f>
        <v/>
      </c>
      <c r="S4" t="s">
        <v>32</v>
      </c>
    </row>
    <row r="5" spans="1:19" x14ac:dyDescent="0.25">
      <c r="A5" t="s">
        <v>23</v>
      </c>
      <c r="B5" s="2">
        <v>0.5</v>
      </c>
      <c r="C5" t="s">
        <v>3</v>
      </c>
      <c r="D5" t="s">
        <v>104</v>
      </c>
      <c r="E5">
        <v>0.5</v>
      </c>
      <c r="G5" s="12" t="s">
        <v>65</v>
      </c>
      <c r="I5" t="str">
        <f>IF(H6="Single value","Value",IF(H6="Range of values","Start",IF(H6="Monte Carlo","Mean","ERROR")))</f>
        <v>Value</v>
      </c>
      <c r="J5" t="str">
        <f>IF(H6="Single value","",IF(H6="Range of values","Step",IF(H6="Monte Carlo","Standard deviation","ERROR")))</f>
        <v/>
      </c>
      <c r="K5" t="str">
        <f>IF(H6="Single value","",IF(H6="Range of values","End",IF(H6="Monte Carlo","","ERROR")))</f>
        <v/>
      </c>
      <c r="L5" t="s">
        <v>32</v>
      </c>
      <c r="N5" s="1" t="s">
        <v>38</v>
      </c>
      <c r="O5" s="1" t="s">
        <v>8</v>
      </c>
      <c r="P5" s="15">
        <v>1</v>
      </c>
      <c r="Q5" s="1"/>
      <c r="R5" s="1"/>
      <c r="S5" t="s">
        <v>3</v>
      </c>
    </row>
    <row r="6" spans="1:19" x14ac:dyDescent="0.25">
      <c r="A6" t="s">
        <v>22</v>
      </c>
      <c r="B6" s="2"/>
      <c r="C6" t="s">
        <v>3</v>
      </c>
      <c r="D6" t="s">
        <v>105</v>
      </c>
      <c r="E6" s="2">
        <f>B13+B12+B11+B7</f>
        <v>5.8248337773341383</v>
      </c>
      <c r="G6" s="1" t="s">
        <v>38</v>
      </c>
      <c r="H6" s="1" t="s">
        <v>8</v>
      </c>
      <c r="I6" s="15">
        <v>1</v>
      </c>
      <c r="J6" s="1"/>
      <c r="K6" s="1"/>
      <c r="L6" t="s">
        <v>3</v>
      </c>
    </row>
    <row r="7" spans="1:19" x14ac:dyDescent="0.25">
      <c r="A7" t="s">
        <v>20</v>
      </c>
      <c r="B7" s="2">
        <f>I10*I11</f>
        <v>1</v>
      </c>
      <c r="C7" t="s">
        <v>3</v>
      </c>
      <c r="D7" t="s">
        <v>19</v>
      </c>
      <c r="E7">
        <v>4</v>
      </c>
      <c r="G7" s="1" t="s">
        <v>51</v>
      </c>
      <c r="H7" s="1" t="s">
        <v>8</v>
      </c>
      <c r="I7" s="15">
        <v>1</v>
      </c>
      <c r="J7" s="1"/>
      <c r="K7" s="1"/>
      <c r="L7" t="s">
        <v>66</v>
      </c>
      <c r="N7" s="12" t="s">
        <v>64</v>
      </c>
      <c r="P7" t="str">
        <f>IF(O8="Single value","Value",IF(O8="Range of values","Start",IF(O8="Monte Carlo","Mean","ERROR")))</f>
        <v>Value</v>
      </c>
      <c r="Q7" t="str">
        <f>IF(O8="Single value","",IF(O8="Range of values","Step",IF(O8="Monte Carlo","Standard deviation","ERROR")))</f>
        <v/>
      </c>
      <c r="R7" t="str">
        <f>IF(O8="Single value","",IF(O8="Range of values","End",IF(O8="Monte Carlo","","ERROR")))</f>
        <v/>
      </c>
      <c r="S7" t="s">
        <v>32</v>
      </c>
    </row>
    <row r="8" spans="1:19" x14ac:dyDescent="0.25">
      <c r="A8" t="s">
        <v>19</v>
      </c>
      <c r="B8" s="2">
        <v>2.5</v>
      </c>
      <c r="C8" t="s">
        <v>3</v>
      </c>
      <c r="D8" t="s">
        <v>18</v>
      </c>
      <c r="E8">
        <v>4</v>
      </c>
      <c r="N8" s="1" t="s">
        <v>69</v>
      </c>
      <c r="O8" s="1" t="s">
        <v>8</v>
      </c>
      <c r="P8" s="15">
        <f>5.909/12/3.28</f>
        <v>0.15012703252032522</v>
      </c>
      <c r="Q8" s="1"/>
      <c r="R8" s="1"/>
      <c r="S8" t="s">
        <v>16</v>
      </c>
    </row>
    <row r="9" spans="1:19" x14ac:dyDescent="0.25">
      <c r="A9" t="s">
        <v>18</v>
      </c>
      <c r="B9" s="2">
        <v>4</v>
      </c>
      <c r="C9" t="s">
        <v>3</v>
      </c>
      <c r="E9">
        <f>SUM(E3:E8)</f>
        <v>33.324833777334135</v>
      </c>
      <c r="G9" s="12" t="s">
        <v>71</v>
      </c>
      <c r="I9" t="str">
        <f>IF(H10="Single value","Value",IF(H10="Range of values","Start",IF(H10="Monte Carlo","Mean","ERROR")))</f>
        <v>Value</v>
      </c>
      <c r="J9" t="str">
        <f>IF(H10="Single value","",IF(H10="Range of values","Step",IF(H10="Monte Carlo","Standard deviation","ERROR")))</f>
        <v/>
      </c>
      <c r="K9" t="str">
        <f>IF(H10="Single value","",IF(H10="Range of values","End",IF(H10="Monte Carlo","","ERROR")))</f>
        <v/>
      </c>
      <c r="L9" t="s">
        <v>32</v>
      </c>
      <c r="N9" s="1" t="s">
        <v>70</v>
      </c>
      <c r="O9" s="1" t="s">
        <v>8</v>
      </c>
      <c r="P9" s="15">
        <f>5.625/12/3.28</f>
        <v>0.14291158536585366</v>
      </c>
      <c r="Q9" s="1"/>
      <c r="R9" s="1"/>
      <c r="S9" t="s">
        <v>16</v>
      </c>
    </row>
    <row r="10" spans="1:19" x14ac:dyDescent="0.25">
      <c r="A10" t="s">
        <v>17</v>
      </c>
      <c r="B10" s="2">
        <v>0</v>
      </c>
      <c r="C10" t="s">
        <v>3</v>
      </c>
      <c r="G10" s="1" t="s">
        <v>38</v>
      </c>
      <c r="H10" s="1" t="s">
        <v>8</v>
      </c>
      <c r="I10" s="15">
        <v>1</v>
      </c>
      <c r="J10" s="1"/>
      <c r="K10" s="1"/>
      <c r="L10" t="s">
        <v>3</v>
      </c>
      <c r="N10" s="1" t="s">
        <v>61</v>
      </c>
      <c r="O10" s="1" t="s">
        <v>8</v>
      </c>
      <c r="P10" s="15">
        <v>3</v>
      </c>
      <c r="Q10" s="1"/>
      <c r="R10" s="1"/>
      <c r="S10" t="s">
        <v>16</v>
      </c>
    </row>
    <row r="11" spans="1:19" x14ac:dyDescent="0.25">
      <c r="A11" t="s">
        <v>4</v>
      </c>
      <c r="B11" s="2">
        <v>2</v>
      </c>
      <c r="C11" t="s">
        <v>3</v>
      </c>
      <c r="G11" s="1" t="s">
        <v>51</v>
      </c>
      <c r="H11" s="1" t="s">
        <v>8</v>
      </c>
      <c r="I11" s="15">
        <v>1</v>
      </c>
      <c r="J11" s="1"/>
      <c r="K11" s="1"/>
      <c r="L11" t="s">
        <v>66</v>
      </c>
      <c r="N11" s="1" t="s">
        <v>62</v>
      </c>
      <c r="O11" s="1" t="s">
        <v>8</v>
      </c>
      <c r="P11" s="15">
        <v>2700</v>
      </c>
      <c r="Q11" s="1"/>
      <c r="R11" s="1"/>
      <c r="S11" t="s">
        <v>63</v>
      </c>
    </row>
    <row r="12" spans="1:19" x14ac:dyDescent="0.25">
      <c r="A12" t="s">
        <v>2</v>
      </c>
      <c r="B12" s="2">
        <f>P11*P10*((PI()*(P8-P9)^2))</f>
        <v>1.3248337773341385</v>
      </c>
      <c r="C12" t="s">
        <v>3</v>
      </c>
    </row>
    <row r="13" spans="1:19" x14ac:dyDescent="0.25">
      <c r="A13" t="s">
        <v>1</v>
      </c>
      <c r="B13" s="2">
        <v>1.5</v>
      </c>
      <c r="C13" t="s">
        <v>3</v>
      </c>
      <c r="G13" s="12" t="s">
        <v>73</v>
      </c>
      <c r="I13" t="str">
        <f>IF(H14="Single value","Value",IF(H14="Range of values","Start",IF(H14="Monte Carlo","Mean","ERROR")))</f>
        <v>Value</v>
      </c>
      <c r="J13" t="str">
        <f>IF(H14="Single value","",IF(H14="Range of values","Step",IF(H14="Monte Carlo","Standard deviation","ERROR")))</f>
        <v/>
      </c>
      <c r="K13" t="str">
        <f>IF(H14="Single value","",IF(H14="Range of values","End",IF(H14="Monte Carlo","","ERROR")))</f>
        <v/>
      </c>
      <c r="L13" t="s">
        <v>32</v>
      </c>
      <c r="N13" s="12" t="s">
        <v>72</v>
      </c>
      <c r="P13" t="str">
        <f>IF(O14="Single value","Value",IF(O14="Range of values","Start",IF(O14="Monte Carlo","Mean","ERROR")))</f>
        <v>Value</v>
      </c>
      <c r="Q13" t="str">
        <f>IF(O14="Single value","",IF(O14="Range of values","Step",IF(O14="Monte Carlo","Standard deviation","ERROR")))</f>
        <v/>
      </c>
      <c r="R13" t="str">
        <f>IF(O14="Single value","",IF(O14="Range of values","End",IF(O14="Monte Carlo","","ERROR")))</f>
        <v/>
      </c>
      <c r="S13" t="s">
        <v>32</v>
      </c>
    </row>
    <row r="14" spans="1:19" x14ac:dyDescent="0.25">
      <c r="A14" t="s">
        <v>100</v>
      </c>
      <c r="B14" s="2">
        <f>SUM(B3:B13)*E14</f>
        <v>2.2237250666001205</v>
      </c>
      <c r="C14" t="s">
        <v>3</v>
      </c>
      <c r="D14" t="s">
        <v>101</v>
      </c>
      <c r="E14" s="31">
        <v>0.15</v>
      </c>
      <c r="G14" s="1" t="s">
        <v>74</v>
      </c>
      <c r="H14" s="1" t="s">
        <v>8</v>
      </c>
      <c r="I14" s="15">
        <v>1</v>
      </c>
      <c r="J14" s="1"/>
      <c r="K14" s="1"/>
      <c r="L14" t="s">
        <v>75</v>
      </c>
      <c r="N14" s="1" t="s">
        <v>38</v>
      </c>
      <c r="O14" s="1" t="s">
        <v>8</v>
      </c>
      <c r="P14" s="15">
        <v>1</v>
      </c>
      <c r="Q14" s="1"/>
      <c r="R14" s="1"/>
      <c r="S14" t="s">
        <v>3</v>
      </c>
    </row>
    <row r="15" spans="1:19" x14ac:dyDescent="0.25">
      <c r="G15" s="1" t="s">
        <v>76</v>
      </c>
      <c r="H15" s="1" t="s">
        <v>8</v>
      </c>
      <c r="I15" s="15">
        <v>1</v>
      </c>
      <c r="J15" s="1"/>
      <c r="K15" s="1"/>
      <c r="L15" t="s">
        <v>16</v>
      </c>
      <c r="N15" s="1" t="s">
        <v>51</v>
      </c>
      <c r="O15" s="1" t="s">
        <v>8</v>
      </c>
      <c r="P15" s="15">
        <v>1</v>
      </c>
      <c r="Q15" s="1"/>
      <c r="R15" s="1"/>
      <c r="S15" t="s">
        <v>66</v>
      </c>
    </row>
    <row r="30" spans="1:6" x14ac:dyDescent="0.25">
      <c r="C30" t="str">
        <f>IF(B31="Single value","Value",IF(B31="Range of values","Start",IF(B31="Monte Carlo","Mean","ERROR")))</f>
        <v>Mean</v>
      </c>
      <c r="D30" t="str">
        <f>IF(B31="Single value","",IF(B31="Range of values","Step",IF(B31="Monte Carlo","Standard deviation","ERROR")))</f>
        <v>Standard deviation</v>
      </c>
      <c r="E30" t="str">
        <f>IF(B31="Single value","",IF(B31="Range of values","End",IF(B31="Monte Carlo","","ERROR")))</f>
        <v/>
      </c>
      <c r="F30" t="s">
        <v>32</v>
      </c>
    </row>
    <row r="31" spans="1:6" x14ac:dyDescent="0.25">
      <c r="A31" s="1" t="s">
        <v>0</v>
      </c>
      <c r="B31" s="1" t="s">
        <v>10</v>
      </c>
      <c r="C31" s="3">
        <v>17</v>
      </c>
      <c r="D31" s="1">
        <v>0.5</v>
      </c>
      <c r="E31" s="3"/>
      <c r="F31" t="s">
        <v>3</v>
      </c>
    </row>
    <row r="34" spans="1:6" x14ac:dyDescent="0.25">
      <c r="B34" t="s">
        <v>82</v>
      </c>
      <c r="C34">
        <v>6.125</v>
      </c>
      <c r="D34" t="s">
        <v>5</v>
      </c>
    </row>
    <row r="35" spans="1:6" x14ac:dyDescent="0.25">
      <c r="C35" t="str">
        <f>IF(B36="Single value","Value",IF(B36="Range of values","Start",IF(B36="Monte Carlo","Mean","ERROR")))</f>
        <v>Value</v>
      </c>
      <c r="D35" t="str">
        <f>IF(B36="Single value","",IF(B36="Range of values","Step",IF(B36="Monte Carlo","Standard deviation","ERROR")))</f>
        <v/>
      </c>
      <c r="E35" t="str">
        <f>IF(B36="Single value","",IF(B36="Range of values","End",IF(B36="Monte Carlo","","ERROR")))</f>
        <v/>
      </c>
    </row>
    <row r="36" spans="1:6" x14ac:dyDescent="0.25">
      <c r="A36" s="1" t="s">
        <v>6</v>
      </c>
      <c r="B36" s="1" t="s">
        <v>8</v>
      </c>
      <c r="C36" s="1">
        <f>C34*2.54/100</f>
        <v>0.15557500000000002</v>
      </c>
      <c r="D36" s="1"/>
      <c r="E36" s="1"/>
      <c r="F36" t="s">
        <v>16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B31:B33 B36 H2:H3 B25 H14:H15 O2 H6:H7 O14:O15 O5 O8:O11 H10:H11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>
      <selection activeCell="B2" sqref="B2"/>
    </sheetView>
  </sheetViews>
  <sheetFormatPr defaultRowHeight="15" x14ac:dyDescent="0.25"/>
  <cols>
    <col min="1" max="1" width="34.28515625" bestFit="1" customWidth="1"/>
    <col min="2" max="2" width="17.5703125" customWidth="1"/>
  </cols>
  <sheetData>
    <row r="1" spans="1:2" x14ac:dyDescent="0.25">
      <c r="A1" t="s">
        <v>113</v>
      </c>
      <c r="B1" t="s">
        <v>114</v>
      </c>
    </row>
    <row r="2" spans="1:2" x14ac:dyDescent="0.25">
      <c r="A2" t="s">
        <v>112</v>
      </c>
      <c r="B2" t="s">
        <v>115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Validation!$E$3:$E$347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1"/>
  <sheetViews>
    <sheetView topLeftCell="A16" workbookViewId="0">
      <selection activeCell="D1" sqref="D1"/>
    </sheetView>
  </sheetViews>
  <sheetFormatPr defaultRowHeight="15" x14ac:dyDescent="0.25"/>
  <cols>
    <col min="1" max="1" width="23" bestFit="1" customWidth="1"/>
    <col min="2" max="2" width="14.42578125" bestFit="1" customWidth="1"/>
    <col min="10" max="10" width="12.28515625" customWidth="1"/>
    <col min="14" max="14" width="13.140625" customWidth="1"/>
  </cols>
  <sheetData>
    <row r="1" spans="1:14" x14ac:dyDescent="0.25">
      <c r="A1" t="s">
        <v>28</v>
      </c>
    </row>
    <row r="2" spans="1:14" x14ac:dyDescent="0.25">
      <c r="A2" s="34" t="s">
        <v>93</v>
      </c>
      <c r="B2" s="34"/>
      <c r="C2" s="34"/>
      <c r="D2" s="34"/>
      <c r="E2" s="34"/>
      <c r="F2" s="34"/>
    </row>
    <row r="3" spans="1:14" x14ac:dyDescent="0.25">
      <c r="A3" s="20"/>
      <c r="B3" s="21"/>
      <c r="C3" s="21" t="str">
        <f>IF(B4="Single value","Value",IF(B4="Range of values","Start",IF(B4="Monte Carlo","Mean","ERROR")))</f>
        <v>Value</v>
      </c>
      <c r="D3" s="21" t="str">
        <f>IF(B4="Single value","",IF(B4="Range of values","Step",IF(B4="Monte Carlo","Standard deviation","ERROR")))</f>
        <v/>
      </c>
      <c r="E3" s="21" t="str">
        <f>IF(B4="Single value","",IF(B4="Range of values","End",IF(B4="Monte Carlo","","ERROR")))</f>
        <v/>
      </c>
      <c r="F3" s="22" t="s">
        <v>32</v>
      </c>
      <c r="K3" t="s">
        <v>32</v>
      </c>
      <c r="N3" t="s">
        <v>43</v>
      </c>
    </row>
    <row r="4" spans="1:14" x14ac:dyDescent="0.25">
      <c r="A4" s="23" t="s">
        <v>94</v>
      </c>
      <c r="B4" s="24" t="s">
        <v>8</v>
      </c>
      <c r="C4" s="25">
        <f>$N$4*J4</f>
        <v>2.6219360000000001E-2</v>
      </c>
      <c r="D4" s="24"/>
      <c r="E4" s="24"/>
      <c r="F4" s="22" t="s">
        <v>42</v>
      </c>
      <c r="J4" s="1">
        <v>1600</v>
      </c>
      <c r="K4" t="s">
        <v>27</v>
      </c>
      <c r="N4" s="6">
        <v>1.6387100000000001E-5</v>
      </c>
    </row>
    <row r="5" spans="1:14" x14ac:dyDescent="0.25">
      <c r="A5" s="20"/>
      <c r="B5" s="21"/>
      <c r="C5" s="21"/>
      <c r="D5" s="21"/>
      <c r="E5" s="21"/>
      <c r="F5" s="22"/>
    </row>
    <row r="6" spans="1:14" x14ac:dyDescent="0.25">
      <c r="A6" s="23" t="s">
        <v>95</v>
      </c>
      <c r="B6" s="24" t="s">
        <v>8</v>
      </c>
      <c r="C6" s="25">
        <f>$N$4*J6</f>
        <v>1.5076132000000001E-2</v>
      </c>
      <c r="D6" s="24"/>
      <c r="E6" s="24"/>
      <c r="F6" s="22" t="s">
        <v>42</v>
      </c>
      <c r="J6" s="1">
        <v>920</v>
      </c>
      <c r="K6" t="s">
        <v>27</v>
      </c>
    </row>
    <row r="7" spans="1:14" x14ac:dyDescent="0.25">
      <c r="A7" s="20"/>
      <c r="B7" s="21"/>
      <c r="C7" s="21"/>
      <c r="D7" s="21"/>
      <c r="E7" s="21"/>
      <c r="F7" s="22"/>
    </row>
    <row r="8" spans="1:14" x14ac:dyDescent="0.25">
      <c r="A8" s="20"/>
      <c r="B8" s="21"/>
      <c r="C8" s="21" t="str">
        <f>IF(B9="Single value","Value",IF(B9="Range of values","Start",IF(B9="Monte Carlo","Mean","ERROR")))</f>
        <v>Value</v>
      </c>
      <c r="D8" s="21" t="str">
        <f>IF(B9="Single value","",IF(B9="Range of values","Step",IF(B9="Monte Carlo","Standard deviation","ERROR")))</f>
        <v/>
      </c>
      <c r="E8" s="21" t="str">
        <f>IF(B9="Single value","",IF(B9="Range of values","End",IF(B9="Monte Carlo","","ERROR")))</f>
        <v/>
      </c>
      <c r="F8" s="22"/>
      <c r="J8" s="4">
        <f>93.19</f>
        <v>93.19</v>
      </c>
      <c r="K8" t="s">
        <v>27</v>
      </c>
    </row>
    <row r="9" spans="1:14" x14ac:dyDescent="0.25">
      <c r="A9" s="23" t="s">
        <v>96</v>
      </c>
      <c r="B9" s="24" t="s">
        <v>8</v>
      </c>
      <c r="C9" s="26">
        <v>0.15</v>
      </c>
      <c r="D9" s="24"/>
      <c r="E9" s="24"/>
      <c r="F9" s="22" t="s">
        <v>42</v>
      </c>
      <c r="G9" t="s">
        <v>98</v>
      </c>
      <c r="N9" t="s">
        <v>44</v>
      </c>
    </row>
    <row r="10" spans="1:14" x14ac:dyDescent="0.25">
      <c r="A10" s="20"/>
      <c r="B10" s="21"/>
      <c r="C10" s="21"/>
      <c r="D10" s="21"/>
      <c r="E10" s="21"/>
      <c r="F10" s="22"/>
      <c r="J10" s="4">
        <v>5.625</v>
      </c>
      <c r="K10" t="s">
        <v>5</v>
      </c>
      <c r="N10">
        <v>2.5399999999999999E-2</v>
      </c>
    </row>
    <row r="11" spans="1:14" x14ac:dyDescent="0.25">
      <c r="A11" s="23" t="s">
        <v>97</v>
      </c>
      <c r="B11" s="24" t="s">
        <v>8</v>
      </c>
      <c r="C11" s="26">
        <v>0.15</v>
      </c>
      <c r="D11" s="24"/>
      <c r="E11" s="24"/>
      <c r="F11" s="22" t="s">
        <v>42</v>
      </c>
      <c r="G11" t="s">
        <v>98</v>
      </c>
    </row>
    <row r="12" spans="1:14" x14ac:dyDescent="0.25">
      <c r="A12" s="20"/>
      <c r="B12" s="21"/>
      <c r="C12" s="21"/>
      <c r="D12" s="21"/>
      <c r="E12" s="21"/>
      <c r="F12" s="22"/>
      <c r="J12" s="1">
        <v>5.9089999999999998</v>
      </c>
      <c r="K12" t="s">
        <v>5</v>
      </c>
    </row>
    <row r="13" spans="1:14" x14ac:dyDescent="0.25">
      <c r="A13" s="20"/>
      <c r="B13" s="21"/>
      <c r="C13" s="21" t="str">
        <f>IF(B14="Single value","Value",IF(B14="Range of values","Start",IF(B14="Monte Carlo","Mean","ERROR")))</f>
        <v>Value</v>
      </c>
      <c r="D13" s="21" t="str">
        <f>IF(B14="Single value","",IF(B14="Range of values","Step",IF(B14="Monte Carlo","Standard deviation","ERROR")))</f>
        <v/>
      </c>
      <c r="E13" s="21" t="str">
        <f>IF(B14="Single value","",IF(B14="Range of values","End",IF(B14="Monte Carlo","","ERROR")))</f>
        <v/>
      </c>
      <c r="F13" s="22"/>
    </row>
    <row r="14" spans="1:14" x14ac:dyDescent="0.25">
      <c r="A14" s="23" t="s">
        <v>15</v>
      </c>
      <c r="B14" s="24" t="s">
        <v>8</v>
      </c>
      <c r="C14" s="25">
        <f>C4*(1-C9)</f>
        <v>2.2286456E-2</v>
      </c>
      <c r="D14" s="24"/>
      <c r="E14" s="24"/>
      <c r="F14" s="22" t="s">
        <v>42</v>
      </c>
      <c r="J14" s="1">
        <v>0.28399999999999997</v>
      </c>
      <c r="K14" t="s">
        <v>5</v>
      </c>
    </row>
    <row r="15" spans="1:14" x14ac:dyDescent="0.25">
      <c r="A15" s="20"/>
      <c r="B15" s="21"/>
      <c r="C15" s="21"/>
      <c r="D15" s="21"/>
      <c r="E15" s="21"/>
      <c r="F15" s="22"/>
    </row>
    <row r="16" spans="1:14" x14ac:dyDescent="0.25">
      <c r="A16" s="27" t="s">
        <v>25</v>
      </c>
      <c r="B16" s="28" t="s">
        <v>8</v>
      </c>
      <c r="C16" s="29">
        <f>C6*(1-C11)</f>
        <v>1.28147122E-2</v>
      </c>
      <c r="D16" s="28"/>
      <c r="E16" s="28"/>
      <c r="F16" s="30" t="s">
        <v>42</v>
      </c>
    </row>
    <row r="17" spans="1:15" x14ac:dyDescent="0.25">
      <c r="J17" s="12" t="s">
        <v>47</v>
      </c>
    </row>
    <row r="18" spans="1:15" x14ac:dyDescent="0.25">
      <c r="A18" s="21"/>
      <c r="B18" s="21"/>
      <c r="C18" t="str">
        <f>IF(B19="Single value","Value",IF(B19="Range of values","Start",IF(B19="Monte Carlo","Mean","ERROR")))</f>
        <v>Value</v>
      </c>
      <c r="D18" t="str">
        <f>IF(B19="Single value","",IF(B19="Range of values","Step",IF(B19="Monte Carlo","Standard deviation","ERROR")))</f>
        <v/>
      </c>
      <c r="E18" t="str">
        <f>IF(B19="Single value","",IF(B19="Range of values","End",IF(B19="Monte Carlo","","ERROR")))</f>
        <v/>
      </c>
      <c r="F18" s="21"/>
      <c r="J18" t="s">
        <v>48</v>
      </c>
      <c r="K18" t="s">
        <v>51</v>
      </c>
      <c r="L18" t="s">
        <v>38</v>
      </c>
      <c r="M18" t="s">
        <v>49</v>
      </c>
      <c r="N18" t="s">
        <v>53</v>
      </c>
    </row>
    <row r="19" spans="1:15" x14ac:dyDescent="0.25">
      <c r="A19" s="24" t="s">
        <v>99</v>
      </c>
      <c r="B19" s="24" t="s">
        <v>8</v>
      </c>
      <c r="C19" s="26">
        <v>0.5</v>
      </c>
      <c r="D19" s="32"/>
      <c r="E19" s="32"/>
      <c r="F19" s="21"/>
      <c r="J19" t="s">
        <v>50</v>
      </c>
      <c r="K19">
        <v>2</v>
      </c>
      <c r="L19">
        <v>2.52</v>
      </c>
      <c r="M19" t="s">
        <v>52</v>
      </c>
      <c r="N19" s="13">
        <f>K19*L19</f>
        <v>5.04</v>
      </c>
    </row>
    <row r="20" spans="1:15" x14ac:dyDescent="0.25">
      <c r="G20" s="6"/>
      <c r="J20" t="s">
        <v>54</v>
      </c>
      <c r="K20" s="8">
        <f>C45</f>
        <v>64.385192990722629</v>
      </c>
      <c r="L20">
        <v>0.249</v>
      </c>
      <c r="M20" t="s">
        <v>56</v>
      </c>
      <c r="N20" s="13">
        <f>K20*L20</f>
        <v>16.031913054689934</v>
      </c>
    </row>
    <row r="21" spans="1:15" x14ac:dyDescent="0.25">
      <c r="A21" s="1" t="s">
        <v>30</v>
      </c>
      <c r="B21" s="1" t="s">
        <v>8</v>
      </c>
      <c r="C21" s="9">
        <f>$N$4*J8</f>
        <v>1.5271138490000002E-3</v>
      </c>
      <c r="D21" s="4"/>
      <c r="E21" s="1"/>
      <c r="F21" t="s">
        <v>42</v>
      </c>
      <c r="J21" t="s">
        <v>55</v>
      </c>
      <c r="K21" s="8">
        <f>C48</f>
        <v>37.02148596966552</v>
      </c>
      <c r="L21">
        <v>0.27200000000000002</v>
      </c>
      <c r="M21" t="s">
        <v>56</v>
      </c>
      <c r="N21" s="13">
        <f>K21*L21</f>
        <v>10.069844183749023</v>
      </c>
    </row>
    <row r="22" spans="1:15" x14ac:dyDescent="0.25">
      <c r="G22" s="6"/>
      <c r="J22" t="s">
        <v>57</v>
      </c>
      <c r="K22">
        <v>1</v>
      </c>
      <c r="L22">
        <v>2.2810000000000001</v>
      </c>
      <c r="M22" t="s">
        <v>52</v>
      </c>
      <c r="N22">
        <f>K22*L22</f>
        <v>2.2810000000000001</v>
      </c>
    </row>
    <row r="23" spans="1:15" x14ac:dyDescent="0.25">
      <c r="A23" s="1" t="s">
        <v>31</v>
      </c>
      <c r="B23" s="1" t="s">
        <v>8</v>
      </c>
      <c r="C23" s="9">
        <f>$N$10*J10</f>
        <v>0.142875</v>
      </c>
      <c r="D23" s="1"/>
      <c r="E23" s="1"/>
      <c r="F23" t="s">
        <v>16</v>
      </c>
      <c r="J23" s="12" t="s">
        <v>58</v>
      </c>
      <c r="K23" s="12"/>
      <c r="L23" s="12"/>
      <c r="M23" s="12"/>
      <c r="N23" s="14">
        <f>SUM(N19:N22)</f>
        <v>33.422757238438955</v>
      </c>
      <c r="O23" t="s">
        <v>33</v>
      </c>
    </row>
    <row r="25" spans="1:15" x14ac:dyDescent="0.25">
      <c r="A25" s="1" t="s">
        <v>35</v>
      </c>
      <c r="B25" s="1" t="s">
        <v>8</v>
      </c>
      <c r="C25" s="9">
        <f>$N$10*J12</f>
        <v>0.15008859999999999</v>
      </c>
      <c r="D25" s="1"/>
      <c r="E25" s="1"/>
      <c r="F25" t="s">
        <v>16</v>
      </c>
    </row>
    <row r="26" spans="1:15" x14ac:dyDescent="0.25">
      <c r="J26" t="s">
        <v>83</v>
      </c>
    </row>
    <row r="27" spans="1:15" x14ac:dyDescent="0.25">
      <c r="A27" s="1" t="s">
        <v>34</v>
      </c>
      <c r="B27" s="1" t="s">
        <v>8</v>
      </c>
      <c r="C27" s="9">
        <f>$N$10*J14</f>
        <v>7.2135999999999988E-3</v>
      </c>
      <c r="D27" s="1"/>
      <c r="E27" s="1"/>
      <c r="F27" t="s">
        <v>16</v>
      </c>
    </row>
    <row r="29" spans="1:15" x14ac:dyDescent="0.25">
      <c r="C29" t="str">
        <f>IF(B30="Single value","Value",IF(B30="Range of values","Start",IF(B30="Monte Carlo","Mean","ERROR")))</f>
        <v>Value</v>
      </c>
      <c r="D29" t="str">
        <f>IF(B30="Single value","",IF(B30="Range of values","Step",IF(B30="Monte Carlo","Standard deviation","ERROR")))</f>
        <v/>
      </c>
      <c r="E29" t="str">
        <f>IF(B30="Single value","",IF(B30="Range of values","End",IF(B30="Monte Carlo","","ERROR")))</f>
        <v/>
      </c>
    </row>
    <row r="30" spans="1:15" x14ac:dyDescent="0.25">
      <c r="A30" s="1" t="s">
        <v>81</v>
      </c>
      <c r="B30" s="1" t="s">
        <v>8</v>
      </c>
      <c r="C30" s="1">
        <v>290</v>
      </c>
      <c r="D30" s="1"/>
      <c r="E30" s="1"/>
      <c r="F30" t="s">
        <v>13</v>
      </c>
    </row>
    <row r="32" spans="1:15" x14ac:dyDescent="0.25">
      <c r="C32" t="str">
        <f>IF(B33="Single value","Value",IF(B33="Range of values","Start",IF(B33="Monte Carlo","Mean","ERROR")))</f>
        <v>Value</v>
      </c>
      <c r="D32" t="str">
        <f>IF(B33="Single value","",IF(B33="Range of values","Step",IF(B33="Monte Carlo","Standard deviation","ERROR")))</f>
        <v/>
      </c>
      <c r="E32" t="str">
        <f>IF(B33="Single value","",IF(B33="Range of values","End",IF(B33="Monte Carlo","","ERROR")))</f>
        <v/>
      </c>
    </row>
    <row r="33" spans="1:7" x14ac:dyDescent="0.25">
      <c r="A33" s="1" t="s">
        <v>80</v>
      </c>
      <c r="B33" s="1" t="s">
        <v>8</v>
      </c>
      <c r="C33" s="1">
        <v>290</v>
      </c>
      <c r="D33" s="1"/>
      <c r="E33" s="1"/>
      <c r="F33" t="s">
        <v>13</v>
      </c>
    </row>
    <row r="37" spans="1:7" x14ac:dyDescent="0.25">
      <c r="C37" t="str">
        <f>IF(B38="Single value","Value",IF(B38="Range of values","Start",IF(B38="Monte Carlo","Mean","ERROR")))</f>
        <v>Value</v>
      </c>
      <c r="D37" t="str">
        <f>IF(B38="Single value","",IF(B38="Range of values","Step",IF(B38="Monte Carlo","Standard deviation","ERROR")))</f>
        <v/>
      </c>
      <c r="E37" t="str">
        <f>IF(B38="Single value","",IF(B38="Range of values","End",IF(B38="Monte Carlo","","ERROR")))</f>
        <v/>
      </c>
    </row>
    <row r="38" spans="1:7" x14ac:dyDescent="0.25">
      <c r="A38" s="1" t="s">
        <v>78</v>
      </c>
      <c r="B38" s="1" t="s">
        <v>8</v>
      </c>
      <c r="C38" s="1">
        <f>G38/F38</f>
        <v>24</v>
      </c>
      <c r="D38" s="1"/>
      <c r="E38" s="1"/>
      <c r="F38">
        <v>1</v>
      </c>
      <c r="G38">
        <v>24</v>
      </c>
    </row>
    <row r="40" spans="1:7" x14ac:dyDescent="0.25">
      <c r="C40" t="str">
        <f>IF(B41="Single value","Value",IF(B41="Range of values","Start",IF(B41="Monte Carlo","Mean","ERROR")))</f>
        <v>Value</v>
      </c>
      <c r="D40" t="str">
        <f>IF(B41="Single value","",IF(B41="Range of values","Step",IF(B41="Monte Carlo","Standard deviation","ERROR")))</f>
        <v/>
      </c>
      <c r="E40" t="str">
        <f>IF(B41="Single value","",IF(B41="Range of values","End",IF(B41="Monte Carlo","","ERROR")))</f>
        <v/>
      </c>
    </row>
    <row r="41" spans="1:7" x14ac:dyDescent="0.25">
      <c r="A41" s="1" t="s">
        <v>79</v>
      </c>
      <c r="B41" s="1" t="s">
        <v>8</v>
      </c>
      <c r="C41" s="1">
        <f>G41/F41</f>
        <v>6</v>
      </c>
      <c r="D41" s="1"/>
      <c r="E41" s="1"/>
      <c r="F41">
        <v>1</v>
      </c>
      <c r="G41">
        <v>6</v>
      </c>
    </row>
    <row r="43" spans="1:7" x14ac:dyDescent="0.25">
      <c r="A43" t="s">
        <v>29</v>
      </c>
    </row>
    <row r="44" spans="1:7" x14ac:dyDescent="0.25">
      <c r="A44" t="s">
        <v>36</v>
      </c>
      <c r="C44" t="str">
        <f>IF(B45="Single value","Value",IF(B45="Range of values","Start",IF(B45="Monte Carlo","Mean","ERROR")))</f>
        <v>Value</v>
      </c>
      <c r="D44" t="str">
        <f>IF(B45="Single value","",IF(B45="Range of values","Step",IF(B45="Monte Carlo","Standard deviation","ERROR")))</f>
        <v/>
      </c>
      <c r="E44" t="str">
        <f>IF(B45="Single value","",IF(B45="Range of values","End",IF(B45="Monte Carlo","","ERROR")))</f>
        <v/>
      </c>
    </row>
    <row r="45" spans="1:7" x14ac:dyDescent="0.25">
      <c r="A45" s="1" t="s">
        <v>26</v>
      </c>
      <c r="B45" s="1" t="s">
        <v>8</v>
      </c>
      <c r="C45" s="8">
        <f>C4/((PI()/4)*C23^2)/N10</f>
        <v>64.385192990722629</v>
      </c>
      <c r="D45" s="1"/>
      <c r="E45" s="1"/>
      <c r="F45" t="s">
        <v>5</v>
      </c>
    </row>
    <row r="47" spans="1:7" x14ac:dyDescent="0.25">
      <c r="A47" t="s">
        <v>37</v>
      </c>
      <c r="C47" t="str">
        <f>IF(B48="Single value","Value",IF(B48="Range of values","Start",IF(B48="Monte Carlo","Mean","ERROR")))</f>
        <v>Value</v>
      </c>
      <c r="D47" t="str">
        <f>IF(B48="Single value","",IF(B48="Range of values","Step",IF(B48="Monte Carlo","Standard deviation","ERROR")))</f>
        <v/>
      </c>
      <c r="E47" t="str">
        <f>IF(B48="Single value","",IF(B48="Range of values","End",IF(B48="Monte Carlo","","ERROR")))</f>
        <v/>
      </c>
    </row>
    <row r="48" spans="1:7" x14ac:dyDescent="0.25">
      <c r="A48" s="1" t="s">
        <v>26</v>
      </c>
      <c r="B48" s="1" t="s">
        <v>8</v>
      </c>
      <c r="C48" s="8">
        <f>C6/((PI()/4)*C23^2)/N10</f>
        <v>37.02148596966552</v>
      </c>
      <c r="D48" s="1"/>
      <c r="E48" s="1"/>
      <c r="F48" t="s">
        <v>16</v>
      </c>
    </row>
    <row r="49" spans="1:6" x14ac:dyDescent="0.25">
      <c r="C49" t="str">
        <f>IF(B50="Single value","Value",IF(B50="Range of values","Start",IF(B50="Monte Carlo","Mean","ERROR")))</f>
        <v>Value</v>
      </c>
      <c r="D49" t="str">
        <f>IF(B50="Single value","",IF(B50="Range of values","Step",IF(B50="Monte Carlo","Standard deviation","ERROR")))</f>
        <v/>
      </c>
      <c r="E49" t="str">
        <f>IF(B50="Single value","",IF(B50="Range of values","End",IF(B50="Monte Carlo","","ERROR")))</f>
        <v/>
      </c>
    </row>
    <row r="50" spans="1:6" x14ac:dyDescent="0.25">
      <c r="A50" s="1" t="s">
        <v>40</v>
      </c>
      <c r="B50" s="1" t="s">
        <v>8</v>
      </c>
      <c r="C50" s="7">
        <f>41.668101-2</f>
        <v>39.668101</v>
      </c>
      <c r="D50" s="4">
        <v>0.25</v>
      </c>
      <c r="E50" s="7">
        <f>41.668101+2</f>
        <v>43.668101</v>
      </c>
      <c r="F50" t="s">
        <v>33</v>
      </c>
    </row>
    <row r="51" spans="1:6" x14ac:dyDescent="0.25">
      <c r="C51" t="str">
        <f>IF(B52="Single value","Value",IF(B52="Range of values","Start",IF(B52="Monte Carlo","Mean","ERROR")))</f>
        <v>Value</v>
      </c>
      <c r="D51" t="str">
        <f>IF(B52="Single value","",IF(B52="Range of values","Step",IF(B52="Monte Carlo","Standard deviation","ERROR")))</f>
        <v/>
      </c>
      <c r="E51" t="str">
        <f>IF(B52="Single value","",IF(B52="Range of values","End",IF(B52="Monte Carlo","","ERROR")))</f>
        <v/>
      </c>
    </row>
    <row r="52" spans="1:6" x14ac:dyDescent="0.25">
      <c r="A52" s="1" t="s">
        <v>41</v>
      </c>
      <c r="B52" s="1" t="s">
        <v>8</v>
      </c>
      <c r="C52" s="7">
        <v>5.0911735</v>
      </c>
      <c r="D52" s="4"/>
      <c r="E52" s="1"/>
      <c r="F52" t="s">
        <v>33</v>
      </c>
    </row>
    <row r="53" spans="1:6" x14ac:dyDescent="0.25">
      <c r="A53" s="16"/>
      <c r="B53" s="16"/>
      <c r="C53" s="17"/>
      <c r="D53" s="16"/>
      <c r="E53" s="16"/>
    </row>
    <row r="56" spans="1:6" x14ac:dyDescent="0.25">
      <c r="A56" s="16"/>
      <c r="B56" s="16"/>
      <c r="C56" s="17"/>
      <c r="D56" s="16"/>
      <c r="E56" s="16"/>
    </row>
    <row r="57" spans="1:6" x14ac:dyDescent="0.25">
      <c r="A57" s="16"/>
      <c r="B57" s="16"/>
      <c r="C57" s="16"/>
      <c r="D57" s="16"/>
      <c r="E57" s="16"/>
    </row>
    <row r="58" spans="1:6" x14ac:dyDescent="0.25">
      <c r="A58" s="16"/>
      <c r="B58" s="16"/>
      <c r="C58" s="18"/>
      <c r="D58" s="19"/>
      <c r="E58" s="16"/>
    </row>
    <row r="59" spans="1:6" x14ac:dyDescent="0.25">
      <c r="A59" s="16"/>
      <c r="B59" s="16"/>
      <c r="C59" s="16"/>
      <c r="D59" s="16"/>
      <c r="E59" s="16"/>
    </row>
    <row r="60" spans="1:6" x14ac:dyDescent="0.25">
      <c r="A60" s="16"/>
      <c r="B60" s="16"/>
      <c r="C60" s="18"/>
      <c r="D60" s="19"/>
      <c r="E60" s="16"/>
    </row>
    <row r="61" spans="1:6" x14ac:dyDescent="0.25">
      <c r="A61" s="16"/>
      <c r="B61" s="16"/>
      <c r="C61" s="16"/>
      <c r="D61" s="16"/>
      <c r="E61" s="16"/>
    </row>
  </sheetData>
  <mergeCells count="1">
    <mergeCell ref="A2:F2"/>
  </mergeCell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B4 B27:B28 B21 B23 B50 B25 B60 B58 B45 B48 B52:B53 B56 B30:B31 B14 B16 B6:B7 B9 B11:B12 B19 B33:B35 B38 B41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F13"/>
  <sheetViews>
    <sheetView workbookViewId="0">
      <selection activeCell="F38" sqref="F38"/>
    </sheetView>
  </sheetViews>
  <sheetFormatPr defaultRowHeight="15" x14ac:dyDescent="0.25"/>
  <cols>
    <col min="1" max="1" width="26.42578125" customWidth="1"/>
    <col min="2" max="2" width="13.7109375" customWidth="1"/>
  </cols>
  <sheetData>
    <row r="3" spans="1:6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6" x14ac:dyDescent="0.25">
      <c r="A4" s="1" t="s">
        <v>106</v>
      </c>
      <c r="B4" s="1" t="s">
        <v>8</v>
      </c>
      <c r="C4" s="1">
        <v>609.6</v>
      </c>
      <c r="D4" s="1"/>
      <c r="E4" s="1"/>
      <c r="F4" t="s">
        <v>16</v>
      </c>
    </row>
    <row r="6" spans="1:6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6" x14ac:dyDescent="0.25">
      <c r="A7" s="1" t="s">
        <v>107</v>
      </c>
      <c r="B7" s="1" t="s">
        <v>8</v>
      </c>
      <c r="C7" s="1">
        <v>915</v>
      </c>
      <c r="D7" s="1"/>
      <c r="E7" s="1"/>
      <c r="F7" t="s">
        <v>108</v>
      </c>
    </row>
    <row r="9" spans="1:6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6" x14ac:dyDescent="0.25">
      <c r="A10" s="1" t="s">
        <v>109</v>
      </c>
      <c r="B10" s="1" t="s">
        <v>8</v>
      </c>
      <c r="C10" s="1">
        <v>23</v>
      </c>
      <c r="D10" s="1"/>
      <c r="E10" s="1"/>
      <c r="F10" t="s">
        <v>110</v>
      </c>
    </row>
    <row r="12" spans="1:6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6" x14ac:dyDescent="0.25">
      <c r="A13" s="1" t="s">
        <v>111</v>
      </c>
      <c r="B13" s="1" t="s">
        <v>8</v>
      </c>
      <c r="C13" s="1">
        <v>-101</v>
      </c>
      <c r="D13" s="1"/>
      <c r="E13" s="1"/>
      <c r="F13" t="s">
        <v>110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B4 B7 B10 B13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6"/>
  <sheetViews>
    <sheetView tabSelected="1" workbookViewId="0">
      <selection activeCell="F5" sqref="F5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6" x14ac:dyDescent="0.25">
      <c r="A1" t="s">
        <v>7</v>
      </c>
      <c r="E1" t="s">
        <v>116</v>
      </c>
    </row>
    <row r="2" spans="1:6" x14ac:dyDescent="0.25">
      <c r="A2" t="s">
        <v>8</v>
      </c>
      <c r="F2" t="str">
        <f>IFERROR(INDEX(MotorList,ROW()-2),"")</f>
        <v>AeroTech_L1000.eng</v>
      </c>
    </row>
    <row r="3" spans="1:6" x14ac:dyDescent="0.25">
      <c r="A3" t="s">
        <v>9</v>
      </c>
      <c r="F3" t="str">
        <f>IFERROR(INDEX(MotorList,ROW()-2),"")</f>
        <v>AeroTech_L1000.eng</v>
      </c>
    </row>
    <row r="4" spans="1:6" x14ac:dyDescent="0.25">
      <c r="A4" t="s">
        <v>10</v>
      </c>
      <c r="F4" t="str">
        <f>IFERROR(INDEX(MotorList,ROW()-2),"")</f>
        <v>AeroTech_L1040.eng</v>
      </c>
    </row>
    <row r="5" spans="1:6" x14ac:dyDescent="0.25">
      <c r="F5" t="str">
        <f>IFERROR(INDEX(MotorList,ROW()-2),"")</f>
        <v>AeroTech_L1090.eng</v>
      </c>
    </row>
    <row r="6" spans="1:6" x14ac:dyDescent="0.25">
      <c r="F6" t="str">
        <f>IFERROR(INDEX(MotorList,ROW()-2),"")</f>
        <v>AeroTech_L1150.eng</v>
      </c>
    </row>
    <row r="7" spans="1:6" x14ac:dyDescent="0.25">
      <c r="F7" t="str">
        <f>IFERROR(INDEX(MotorList,ROW()-2),"")</f>
        <v>AeroTech_L1170.eng</v>
      </c>
    </row>
    <row r="8" spans="1:6" x14ac:dyDescent="0.25">
      <c r="F8" t="str">
        <f>IFERROR(INDEX(MotorList,ROW()-2),"")</f>
        <v>AeroTech_L1250.eng</v>
      </c>
    </row>
    <row r="9" spans="1:6" x14ac:dyDescent="0.25">
      <c r="F9" t="str">
        <f>IFERROR(INDEX(MotorList,ROW()-2),"")</f>
        <v>AeroTech_L1300.eng</v>
      </c>
    </row>
    <row r="10" spans="1:6" x14ac:dyDescent="0.25">
      <c r="F10" t="str">
        <f>IFERROR(INDEX(MotorList,ROW()-2),"")</f>
        <v>AeroTech_L1365.eng</v>
      </c>
    </row>
    <row r="11" spans="1:6" x14ac:dyDescent="0.25">
      <c r="F11" t="str">
        <f>IFERROR(INDEX(MotorList,ROW()-2),"")</f>
        <v>AeroTech_L1390.eng</v>
      </c>
    </row>
    <row r="12" spans="1:6" x14ac:dyDescent="0.25">
      <c r="F12" t="str">
        <f>IFERROR(INDEX(MotorList,ROW()-2),"")</f>
        <v>AeroTech_L1420.eng</v>
      </c>
    </row>
    <row r="13" spans="1:6" x14ac:dyDescent="0.25">
      <c r="F13" t="str">
        <f>IFERROR(INDEX(MotorList,ROW()-2),"")</f>
        <v>AeroTech_L1500.eng</v>
      </c>
    </row>
    <row r="14" spans="1:6" x14ac:dyDescent="0.25">
      <c r="F14" t="str">
        <f>IFERROR(INDEX(MotorList,ROW()-2),"")</f>
        <v>AeroTech_L1520.eng</v>
      </c>
    </row>
    <row r="15" spans="1:6" x14ac:dyDescent="0.25">
      <c r="F15" t="str">
        <f>IFERROR(INDEX(MotorList,ROW()-2),"")</f>
        <v>AeroTech_L2200.eng</v>
      </c>
    </row>
    <row r="16" spans="1:6" x14ac:dyDescent="0.25">
      <c r="F16" t="str">
        <f>IFERROR(INDEX(MotorList,ROW()-2),"")</f>
        <v>AeroTech_L2500.eng</v>
      </c>
    </row>
    <row r="17" spans="5:6" x14ac:dyDescent="0.25">
      <c r="F17" t="str">
        <f>IFERROR(INDEX(MotorList,ROW()-2),"")</f>
        <v>AeroTech_L339.eng</v>
      </c>
    </row>
    <row r="18" spans="5:6" x14ac:dyDescent="0.25">
      <c r="F18" t="str">
        <f>IFERROR(INDEX(MotorList,ROW()-2),"")</f>
        <v>AeroTech_L400.eng</v>
      </c>
    </row>
    <row r="19" spans="5:6" x14ac:dyDescent="0.25">
      <c r="F19" t="str">
        <f>IFERROR(INDEX(MotorList,ROW()-2),"")</f>
        <v>AeroTech_L850.eng</v>
      </c>
    </row>
    <row r="20" spans="5:6" x14ac:dyDescent="0.25">
      <c r="F20" t="str">
        <f>IFERROR(INDEX(MotorList,ROW()-2),"")</f>
        <v>AeroTech_L875.eng</v>
      </c>
    </row>
    <row r="21" spans="5:6" x14ac:dyDescent="0.25">
      <c r="F21" t="str">
        <f>IFERROR(INDEX(MotorList,ROW()-2),"")</f>
        <v>AeroTech_L900.eng</v>
      </c>
    </row>
    <row r="23" spans="5:6" x14ac:dyDescent="0.25">
      <c r="E23" t="str">
        <f>IFERROR(INDEX(MotorList,ROW()-2),"")</f>
        <v/>
      </c>
    </row>
    <row r="24" spans="5:6" x14ac:dyDescent="0.25">
      <c r="E24" t="str">
        <f>IFERROR(INDEX(MotorList,ROW()-2),"")</f>
        <v/>
      </c>
    </row>
    <row r="25" spans="5:6" x14ac:dyDescent="0.25">
      <c r="E25" t="str">
        <f>IFERROR(INDEX(MotorList,ROW()-2),"")</f>
        <v/>
      </c>
    </row>
    <row r="26" spans="5:6" x14ac:dyDescent="0.25">
      <c r="E26" t="str">
        <f>IFERROR(INDEX(MotorList,ROW()-2),"")</f>
        <v/>
      </c>
    </row>
    <row r="27" spans="5:6" x14ac:dyDescent="0.25">
      <c r="E27" t="str">
        <f>IFERROR(INDEX(MotorList,ROW()-2),"")</f>
        <v/>
      </c>
    </row>
    <row r="28" spans="5:6" x14ac:dyDescent="0.25">
      <c r="E28" t="str">
        <f>IFERROR(INDEX(MotorList,ROW()-2),"")</f>
        <v/>
      </c>
    </row>
    <row r="29" spans="5:6" x14ac:dyDescent="0.25">
      <c r="E29" t="str">
        <f>IFERROR(INDEX(MotorList,ROW()-2),"")</f>
        <v/>
      </c>
    </row>
    <row r="30" spans="5:6" x14ac:dyDescent="0.25">
      <c r="E30" t="str">
        <f>IFERROR(INDEX(MotorList,ROW()-2),"")</f>
        <v/>
      </c>
    </row>
    <row r="31" spans="5:6" x14ac:dyDescent="0.25">
      <c r="E31" t="str">
        <f>IFERROR(INDEX(MotorList,ROW()-2),"")</f>
        <v/>
      </c>
    </row>
    <row r="32" spans="5:6" x14ac:dyDescent="0.25">
      <c r="E32" t="str">
        <f>IFERROR(INDEX(MotorList,ROW()-2),"")</f>
        <v/>
      </c>
    </row>
    <row r="33" spans="5:5" x14ac:dyDescent="0.25">
      <c r="E33" t="str">
        <f>IFERROR(INDEX(MotorList,ROW()-2),"")</f>
        <v/>
      </c>
    </row>
    <row r="34" spans="5:5" x14ac:dyDescent="0.25">
      <c r="E34" t="str">
        <f>IFERROR(INDEX(MotorList,ROW()-2),"")</f>
        <v/>
      </c>
    </row>
    <row r="35" spans="5:5" x14ac:dyDescent="0.25">
      <c r="E35" t="str">
        <f>IFERROR(INDEX(MotorList,ROW()-2),"")</f>
        <v/>
      </c>
    </row>
    <row r="36" spans="5:5" x14ac:dyDescent="0.25">
      <c r="E36" t="str">
        <f>IFERROR(INDEX(MotorList,ROW()-2),"")</f>
        <v/>
      </c>
    </row>
    <row r="37" spans="5:5" x14ac:dyDescent="0.25">
      <c r="E37" t="str">
        <f>IFERROR(INDEX(MotorList,ROW()-2),"")</f>
        <v/>
      </c>
    </row>
    <row r="38" spans="5:5" x14ac:dyDescent="0.25">
      <c r="E38" t="str">
        <f>IFERROR(INDEX(MotorList,ROW()-2),"")</f>
        <v/>
      </c>
    </row>
    <row r="39" spans="5:5" x14ac:dyDescent="0.25">
      <c r="E39" t="str">
        <f>IFERROR(INDEX(MotorList,ROW()-2),"")</f>
        <v/>
      </c>
    </row>
    <row r="40" spans="5:5" x14ac:dyDescent="0.25">
      <c r="E40" t="str">
        <f>IFERROR(INDEX(MotorList,ROW()-2),"")</f>
        <v/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Simulation Conditions (Weather)</vt:lpstr>
      <vt:lpstr>Rocket Parameters (Mass)</vt:lpstr>
      <vt:lpstr>Engine Parameters</vt:lpstr>
      <vt:lpstr>Propellant Parameters (Tanks)</vt:lpstr>
      <vt:lpstr>Avionics Parameters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I Corey</cp:lastModifiedBy>
  <dcterms:created xsi:type="dcterms:W3CDTF">2017-08-26T18:54:19Z</dcterms:created>
  <dcterms:modified xsi:type="dcterms:W3CDTF">2018-09-25T13:38:17Z</dcterms:modified>
</cp:coreProperties>
</file>