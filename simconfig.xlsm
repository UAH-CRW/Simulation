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updateLinks="never" defaultThemeVersion="124226"/>
  <bookViews>
    <workbookView xWindow="0" yWindow="0" windowWidth="28800" windowHeight="12210" tabRatio="551"/>
  </bookViews>
  <sheets>
    <sheet name="Simulation Conditions" sheetId="2" r:id="rId1"/>
    <sheet name="Vehicle" sheetId="1" r:id="rId2"/>
    <sheet name="Recovery" sheetId="7" r:id="rId3"/>
    <sheet name="Validation" sheetId="3" r:id="rId4"/>
  </sheets>
  <definedNames>
    <definedName name="MotorList">FILES(Validation!$E$1)</definedName>
  </definedNames>
  <calcPr calcId="144525"/>
</workbook>
</file>

<file path=xl/calcChain.xml><?xml version="1.0" encoding="utf-8"?>
<calcChain xmlns="http://schemas.openxmlformats.org/spreadsheetml/2006/main">
  <c r="E22" i="2" l="1"/>
  <c r="D22" i="2"/>
  <c r="C22" i="2"/>
  <c r="E5" i="7" l="1"/>
  <c r="D5" i="7"/>
  <c r="C5" i="7"/>
  <c r="E8" i="7" l="1"/>
  <c r="D8" i="7"/>
  <c r="C8" i="7"/>
  <c r="E17" i="7"/>
  <c r="D17" i="7"/>
  <c r="C17" i="7"/>
  <c r="E14" i="7"/>
  <c r="D14" i="7"/>
  <c r="C14" i="7"/>
  <c r="E11" i="7"/>
  <c r="D11" i="7"/>
  <c r="C11" i="7"/>
  <c r="E2" i="7"/>
  <c r="D2" i="7"/>
  <c r="C2" i="7"/>
  <c r="D5" i="1" l="1"/>
  <c r="D6" i="1"/>
  <c r="D7" i="1"/>
  <c r="D8" i="1"/>
  <c r="D9" i="1"/>
  <c r="D10" i="1"/>
  <c r="D11" i="1"/>
  <c r="D12" i="1"/>
  <c r="D13" i="1"/>
  <c r="D14" i="1"/>
  <c r="E150" i="3"/>
  <c r="E275" i="3"/>
  <c r="E263" i="3"/>
  <c r="E338" i="3"/>
  <c r="E136" i="3"/>
  <c r="E222" i="3"/>
  <c r="E212" i="3"/>
  <c r="E293" i="3"/>
  <c r="E152" i="3"/>
  <c r="E166" i="3"/>
  <c r="E294" i="3"/>
  <c r="E153" i="3"/>
  <c r="E79" i="3"/>
  <c r="E57" i="3"/>
  <c r="E76" i="3"/>
  <c r="E41" i="3"/>
  <c r="E260" i="3"/>
  <c r="E218" i="3"/>
  <c r="E273" i="3"/>
  <c r="E281" i="3"/>
  <c r="E145" i="3"/>
  <c r="E206" i="3"/>
  <c r="E245" i="3"/>
  <c r="E289" i="3"/>
  <c r="E82" i="3"/>
  <c r="E257" i="3"/>
  <c r="E251" i="3"/>
  <c r="E233" i="3"/>
  <c r="E285" i="3"/>
  <c r="E226" i="3"/>
  <c r="E267" i="3"/>
  <c r="E297" i="3"/>
  <c r="E54" i="3"/>
  <c r="E182" i="3"/>
  <c r="E310" i="3"/>
  <c r="E193" i="3"/>
  <c r="E95" i="3"/>
  <c r="E223" i="3"/>
  <c r="E105" i="3"/>
  <c r="E92" i="3"/>
  <c r="E220" i="3"/>
  <c r="E81" i="3"/>
  <c r="E288" i="3"/>
  <c r="E292" i="3"/>
  <c r="E106" i="3"/>
  <c r="E234" i="3"/>
  <c r="E327" i="3"/>
  <c r="E313" i="3"/>
  <c r="E163" i="3"/>
  <c r="E291" i="3"/>
  <c r="E337" i="3"/>
  <c r="E160" i="3"/>
  <c r="E261" i="3"/>
  <c r="E94" i="3"/>
  <c r="E151" i="3"/>
  <c r="E279" i="3"/>
  <c r="E98" i="3"/>
  <c r="E139" i="3"/>
  <c r="E280" i="3"/>
  <c r="E70" i="3"/>
  <c r="E198" i="3"/>
  <c r="E326" i="3"/>
  <c r="E229" i="3"/>
  <c r="E111" i="3"/>
  <c r="E239" i="3"/>
  <c r="E161" i="3"/>
  <c r="E108" i="3"/>
  <c r="E236" i="3"/>
  <c r="E129" i="3"/>
  <c r="E320" i="3"/>
  <c r="E61" i="3"/>
  <c r="E122" i="3"/>
  <c r="E250" i="3"/>
  <c r="E332" i="3"/>
  <c r="E51" i="3"/>
  <c r="E179" i="3"/>
  <c r="E311" i="3"/>
  <c r="E48" i="3"/>
  <c r="E176" i="3"/>
  <c r="E196" i="3"/>
  <c r="E110" i="3"/>
  <c r="E238" i="3"/>
  <c r="E335" i="3"/>
  <c r="E325" i="3"/>
  <c r="E167" i="3"/>
  <c r="E295" i="3"/>
  <c r="E68" i="3"/>
  <c r="E244" i="3"/>
  <c r="E114" i="3"/>
  <c r="E242" i="3"/>
  <c r="E339" i="3"/>
  <c r="E333" i="3"/>
  <c r="E155" i="3"/>
  <c r="E283" i="3"/>
  <c r="E309" i="3"/>
  <c r="E168" i="3"/>
  <c r="E296" i="3"/>
  <c r="E345" i="3"/>
  <c r="E214" i="3"/>
  <c r="E342" i="3"/>
  <c r="E269" i="3"/>
  <c r="E127" i="3"/>
  <c r="E255" i="3"/>
  <c r="E213" i="3"/>
  <c r="E124" i="3"/>
  <c r="E252" i="3"/>
  <c r="E185" i="3"/>
  <c r="E93" i="3"/>
  <c r="E221" i="3"/>
  <c r="E138" i="3"/>
  <c r="E266" i="3"/>
  <c r="E89" i="3"/>
  <c r="E67" i="3"/>
  <c r="E195" i="3"/>
  <c r="E336" i="3"/>
  <c r="E64" i="3"/>
  <c r="E208" i="3"/>
  <c r="E276" i="3"/>
  <c r="E126" i="3"/>
  <c r="E254" i="3"/>
  <c r="E344" i="3"/>
  <c r="E55" i="3"/>
  <c r="E183" i="3"/>
  <c r="E319" i="3"/>
  <c r="E84" i="3"/>
  <c r="E308" i="3"/>
  <c r="E130" i="3"/>
  <c r="E258" i="3"/>
  <c r="E45" i="3"/>
  <c r="E43" i="3"/>
  <c r="E171" i="3"/>
  <c r="E299" i="3"/>
  <c r="E56" i="3"/>
  <c r="E184" i="3"/>
  <c r="E312" i="3"/>
  <c r="E143" i="3"/>
  <c r="E140" i="3"/>
  <c r="E249" i="3"/>
  <c r="E329" i="3"/>
  <c r="E282" i="3"/>
  <c r="E83" i="3"/>
  <c r="E80" i="3"/>
  <c r="E324" i="3"/>
  <c r="E270" i="3"/>
  <c r="E71" i="3"/>
  <c r="E100" i="3"/>
  <c r="E146" i="3"/>
  <c r="E59" i="3"/>
  <c r="E331" i="3"/>
  <c r="E340" i="3"/>
  <c r="E286" i="3"/>
  <c r="E133" i="3"/>
  <c r="E290" i="3"/>
  <c r="E49" i="3"/>
  <c r="E86" i="3"/>
  <c r="E211" i="3"/>
  <c r="E199" i="3"/>
  <c r="E274" i="3"/>
  <c r="E72" i="3"/>
  <c r="E158" i="3"/>
  <c r="E116" i="3"/>
  <c r="E141" i="3"/>
  <c r="E88" i="3"/>
  <c r="E102" i="3"/>
  <c r="E230" i="3"/>
  <c r="E323" i="3"/>
  <c r="E305" i="3"/>
  <c r="E271" i="3"/>
  <c r="E265" i="3"/>
  <c r="E268" i="3"/>
  <c r="E201" i="3"/>
  <c r="E154" i="3"/>
  <c r="E125" i="3"/>
  <c r="E65" i="3"/>
  <c r="E240" i="3"/>
  <c r="E142" i="3"/>
  <c r="E97" i="3"/>
  <c r="E77" i="3"/>
  <c r="E101" i="3"/>
  <c r="E109" i="3"/>
  <c r="E187" i="3"/>
  <c r="E200" i="3"/>
  <c r="E137" i="3"/>
  <c r="E162" i="3"/>
  <c r="E203" i="3"/>
  <c r="E69" i="3"/>
  <c r="E118" i="3"/>
  <c r="E246" i="3"/>
  <c r="E328" i="3"/>
  <c r="E341" i="3"/>
  <c r="E159" i="3"/>
  <c r="E287" i="3"/>
  <c r="E321" i="3"/>
  <c r="E156" i="3"/>
  <c r="E284" i="3"/>
  <c r="E301" i="3"/>
  <c r="E317" i="3"/>
  <c r="E42" i="3"/>
  <c r="E170" i="3"/>
  <c r="E298" i="3"/>
  <c r="E165" i="3"/>
  <c r="E99" i="3"/>
  <c r="E227" i="3"/>
  <c r="E121" i="3"/>
  <c r="E96" i="3"/>
  <c r="E272" i="3"/>
  <c r="E157" i="3"/>
  <c r="E87" i="3"/>
  <c r="E215" i="3"/>
  <c r="E277" i="3"/>
  <c r="E75" i="3"/>
  <c r="E216" i="3"/>
  <c r="E134" i="3"/>
  <c r="E262" i="3"/>
  <c r="E73" i="3"/>
  <c r="E47" i="3"/>
  <c r="E175" i="3"/>
  <c r="E303" i="3"/>
  <c r="E44" i="3"/>
  <c r="E172" i="3"/>
  <c r="E300" i="3"/>
  <c r="E192" i="3"/>
  <c r="E164" i="3"/>
  <c r="E58" i="3"/>
  <c r="E186" i="3"/>
  <c r="E314" i="3"/>
  <c r="E205" i="3"/>
  <c r="E115" i="3"/>
  <c r="E243" i="3"/>
  <c r="E173" i="3"/>
  <c r="E112" i="3"/>
  <c r="E304" i="3"/>
  <c r="E46" i="3"/>
  <c r="E174" i="3"/>
  <c r="E302" i="3"/>
  <c r="E177" i="3"/>
  <c r="E103" i="3"/>
  <c r="E231" i="3"/>
  <c r="E189" i="3"/>
  <c r="E132" i="3"/>
  <c r="E50" i="3"/>
  <c r="E178" i="3"/>
  <c r="E306" i="3"/>
  <c r="E181" i="3"/>
  <c r="E91" i="3"/>
  <c r="E219" i="3"/>
  <c r="E85" i="3"/>
  <c r="E104" i="3"/>
  <c r="E232" i="3"/>
  <c r="E117" i="3"/>
  <c r="E278" i="3"/>
  <c r="E113" i="3"/>
  <c r="E63" i="3"/>
  <c r="E191" i="3"/>
  <c r="E343" i="3"/>
  <c r="E60" i="3"/>
  <c r="E188" i="3"/>
  <c r="E316" i="3"/>
  <c r="E224" i="3"/>
  <c r="E228" i="3"/>
  <c r="E74" i="3"/>
  <c r="E202" i="3"/>
  <c r="E330" i="3"/>
  <c r="E237" i="3"/>
  <c r="E131" i="3"/>
  <c r="E259" i="3"/>
  <c r="E225" i="3"/>
  <c r="E128" i="3"/>
  <c r="E53" i="3"/>
  <c r="E62" i="3"/>
  <c r="E190" i="3"/>
  <c r="E318" i="3"/>
  <c r="E209" i="3"/>
  <c r="E119" i="3"/>
  <c r="E247" i="3"/>
  <c r="E241" i="3"/>
  <c r="E148" i="3"/>
  <c r="E66" i="3"/>
  <c r="E194" i="3"/>
  <c r="E322" i="3"/>
  <c r="E217" i="3"/>
  <c r="E107" i="3"/>
  <c r="E235" i="3"/>
  <c r="E149" i="3"/>
  <c r="E120" i="3"/>
  <c r="E248" i="3"/>
  <c r="E169" i="3"/>
  <c r="E207" i="3"/>
  <c r="E204" i="3"/>
  <c r="E256" i="3"/>
  <c r="E90" i="3"/>
  <c r="E346" i="3"/>
  <c r="E147" i="3"/>
  <c r="E144" i="3"/>
  <c r="E78" i="3"/>
  <c r="E334" i="3"/>
  <c r="E135" i="3"/>
  <c r="E180" i="3"/>
  <c r="E210" i="3"/>
  <c r="E123" i="3"/>
  <c r="E197" i="3"/>
  <c r="E264" i="3"/>
  <c r="E307" i="3"/>
  <c r="E52" i="3"/>
  <c r="E315" i="3"/>
  <c r="E253" i="3"/>
  <c r="E3" i="2" l="1"/>
  <c r="D3" i="2"/>
  <c r="C3" i="2"/>
  <c r="E6" i="2"/>
  <c r="D6" i="2"/>
  <c r="C6" i="2"/>
  <c r="E9" i="2"/>
  <c r="D9" i="2"/>
  <c r="C9" i="2"/>
  <c r="E12" i="2"/>
  <c r="D12" i="2"/>
  <c r="C12" i="2"/>
  <c r="E16" i="2"/>
  <c r="D16" i="2"/>
  <c r="C16" i="2"/>
  <c r="E19" i="2"/>
  <c r="D19" i="2"/>
  <c r="C19" i="2"/>
  <c r="C25" i="1"/>
  <c r="B6" i="1" l="1"/>
  <c r="B13" i="1" l="1"/>
  <c r="B8" i="1"/>
  <c r="B15" i="1" l="1"/>
  <c r="C7" i="2"/>
  <c r="B16" i="1" l="1"/>
  <c r="D15" i="1"/>
  <c r="D16" i="1" s="1"/>
  <c r="E24" i="1"/>
  <c r="D24" i="1"/>
  <c r="C24" i="1"/>
  <c r="E19" i="1"/>
  <c r="C19" i="1"/>
  <c r="D19" i="1"/>
</calcChain>
</file>

<file path=xl/sharedStrings.xml><?xml version="1.0" encoding="utf-8"?>
<sst xmlns="http://schemas.openxmlformats.org/spreadsheetml/2006/main" count="82" uniqueCount="56">
  <si>
    <t>Total inert mass</t>
  </si>
  <si>
    <t>Nose cone</t>
  </si>
  <si>
    <t>Body tube</t>
  </si>
  <si>
    <t>kg</t>
  </si>
  <si>
    <t>Fins</t>
  </si>
  <si>
    <t>in</t>
  </si>
  <si>
    <t>Largest circular diameter</t>
  </si>
  <si>
    <t>Parameter options</t>
  </si>
  <si>
    <t>Single value</t>
  </si>
  <si>
    <t>Range of values</t>
  </si>
  <si>
    <t>Monte Carlo</t>
  </si>
  <si>
    <t>Ambient temperature</t>
  </si>
  <si>
    <t>Ambient pressure</t>
  </si>
  <si>
    <t>K</t>
  </si>
  <si>
    <t>Pa</t>
  </si>
  <si>
    <t>m</t>
  </si>
  <si>
    <t>Engine</t>
  </si>
  <si>
    <t>Payload</t>
  </si>
  <si>
    <t>Recovery</t>
  </si>
  <si>
    <t>Couplers</t>
  </si>
  <si>
    <t>Bulkheads</t>
  </si>
  <si>
    <t>Engine controller</t>
  </si>
  <si>
    <t>Lines</t>
  </si>
  <si>
    <t>Units</t>
  </si>
  <si>
    <t>Item</t>
  </si>
  <si>
    <t>Degrees</t>
  </si>
  <si>
    <t>Launch Altitude</t>
  </si>
  <si>
    <t>Total Mass</t>
  </si>
  <si>
    <t>DO NOT INPUT, CALCULATED FROM LAUNCH ALTITUDE. Need to implement temperature compensation</t>
  </si>
  <si>
    <t>Truth of Consequences US Climate Data</t>
  </si>
  <si>
    <t>Diameter</t>
  </si>
  <si>
    <t># of Monte Carlo runs</t>
  </si>
  <si>
    <t>Rail length (effective)</t>
  </si>
  <si>
    <t>Launch angle</t>
  </si>
  <si>
    <t>Fudge</t>
  </si>
  <si>
    <t>Motor</t>
  </si>
  <si>
    <t>AeroTech_L1390</t>
  </si>
  <si>
    <t>Margin</t>
  </si>
  <si>
    <t>Mass (lb)</t>
  </si>
  <si>
    <t>Mass (kg)</t>
  </si>
  <si>
    <t>Mass (g)</t>
  </si>
  <si>
    <t>Specify mass in lb or g, not both</t>
  </si>
  <si>
    <t>Drogue deployment time</t>
  </si>
  <si>
    <t>s</t>
  </si>
  <si>
    <t>Negative = before apogee, positive = after apogee, 0 = at apogee</t>
  </si>
  <si>
    <t>Main deployment altitude</t>
  </si>
  <si>
    <t>AGL</t>
  </si>
  <si>
    <t>Main chute Cd</t>
  </si>
  <si>
    <t>-</t>
  </si>
  <si>
    <t>Main chute area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</si>
  <si>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</si>
  <si>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Drogue chute area</t>
  </si>
  <si>
    <t>Drogue chute Cd</t>
  </si>
  <si>
    <t>Windspeed</t>
  </si>
  <si>
    <t>m/s</t>
  </si>
  <si>
    <t>Only used when "Monte Carlo" is selected as the type for one or more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</si>
</sst>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2" fontId="0" fillId="0" borderId="0" xfId="0" applyNumberFormat="1"/>
    <xf numFmtId="2" fontId="0" fillId="2" borderId="0" xfId="0" applyNumberFormat="1" applyFill="1"/>
    <xf numFmtId="0" fontId="1" fillId="0" borderId="1" xfId="0" applyFont="1" applyBorder="1"/>
    <xf numFmtId="0" fontId="2" fillId="0" borderId="0" xfId="1"/>
    <xf numFmtId="0" fontId="0" fillId="3" borderId="0" xfId="0" applyFill="1"/>
    <xf numFmtId="0" fontId="1" fillId="0" borderId="0" xfId="0" applyFont="1"/>
    <xf numFmtId="9" fontId="0" fillId="0" borderId="0" xfId="0" applyNumberFormat="1"/>
    <xf numFmtId="0" fontId="0" fillId="0" borderId="1" xfId="0" applyBorder="1"/>
    <xf numFmtId="2" fontId="0" fillId="0" borderId="1" xfId="0" applyNumberFormat="1" applyBorder="1"/>
    <xf numFmtId="0" fontId="0" fillId="0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sclimatedata.com/climate/truth-or-consequences/new-mexico/united-states/usnm03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"/>
  <sheetViews>
    <sheetView tabSelected="1" workbookViewId="0">
      <selection activeCell="G17" sqref="G17"/>
    </sheetView>
  </sheetViews>
  <sheetFormatPr defaultRowHeight="15" x14ac:dyDescent="0.25"/>
  <cols>
    <col min="1" max="1" width="20.7109375" bestFit="1" customWidth="1"/>
    <col min="2" max="2" width="11.7109375" bestFit="1" customWidth="1"/>
  </cols>
  <sheetData>
    <row r="1" spans="1:7" x14ac:dyDescent="0.25">
      <c r="G1" s="5" t="s">
        <v>29</v>
      </c>
    </row>
    <row r="3" spans="1:7" x14ac:dyDescent="0.25">
      <c r="C3" t="str">
        <f>IF(B4="Single value","Value",IF(B4="Range of values","Start",IF(B4="Monte Carlo","Mean","ERROR")))</f>
        <v>Value</v>
      </c>
      <c r="D3" t="str">
        <f>IF(B4="Single value","",IF(B4="Range of values","Step",IF(B4="Monte Carlo","Standard deviation","ERROR")))</f>
        <v/>
      </c>
      <c r="E3" t="str">
        <f>IF(B4="Single value","",IF(B4="Range of values","End",IF(B4="Monte Carlo","","ERROR")))</f>
        <v/>
      </c>
    </row>
    <row r="4" spans="1:7" x14ac:dyDescent="0.25">
      <c r="A4" s="1" t="s">
        <v>11</v>
      </c>
      <c r="B4" s="1" t="s">
        <v>8</v>
      </c>
      <c r="C4" s="1">
        <v>295</v>
      </c>
      <c r="D4" s="1"/>
      <c r="E4" s="1"/>
      <c r="F4" t="s">
        <v>13</v>
      </c>
    </row>
    <row r="6" spans="1:7" x14ac:dyDescent="0.25">
      <c r="C6" t="str">
        <f>IF(B7="Single value","Value",IF(B7="Range of values","Start",IF(B7="Monte Carlo","Mean","ERROR")))</f>
        <v>Value</v>
      </c>
      <c r="D6" t="str">
        <f>IF(B7="Single value","",IF(B7="Range of values","Step",IF(B7="Monte Carlo","Standard deviation","ERROR")))</f>
        <v/>
      </c>
      <c r="E6" t="str">
        <f>IF(B7="Single value","",IF(B7="Range of values","End",IF(B7="Monte Carlo","","ERROR")))</f>
        <v/>
      </c>
    </row>
    <row r="7" spans="1:7" x14ac:dyDescent="0.25">
      <c r="A7" s="1" t="s">
        <v>12</v>
      </c>
      <c r="B7" s="6" t="s">
        <v>8</v>
      </c>
      <c r="C7" s="6">
        <f>101325*(1-(0.0000225577)*C13)^5.25588</f>
        <v>98945.32344781862</v>
      </c>
      <c r="D7" s="6"/>
      <c r="E7" s="6"/>
      <c r="F7" t="s">
        <v>14</v>
      </c>
      <c r="G7" t="s">
        <v>28</v>
      </c>
    </row>
    <row r="9" spans="1:7" x14ac:dyDescent="0.25">
      <c r="C9" t="str">
        <f>IF(B10="Single value","Value",IF(B10="Range of values","Start",IF(B10="Monte Carlo","Mean","ERROR")))</f>
        <v>Value</v>
      </c>
      <c r="D9" t="str">
        <f>IF(B10="Single value","",IF(B10="Range of values","Step",IF(B10="Monte Carlo","Standard deviation","ERROR")))</f>
        <v/>
      </c>
      <c r="E9" t="str">
        <f>IF(B10="Single value","",IF(B10="Range of values","End",IF(B10="Monte Carlo","","ERROR")))</f>
        <v/>
      </c>
    </row>
    <row r="10" spans="1:7" x14ac:dyDescent="0.25">
      <c r="A10" s="1" t="s">
        <v>33</v>
      </c>
      <c r="B10" s="1" t="s">
        <v>8</v>
      </c>
      <c r="C10" s="1">
        <v>2</v>
      </c>
      <c r="D10" s="1"/>
      <c r="E10" s="1"/>
      <c r="F10" t="s">
        <v>25</v>
      </c>
    </row>
    <row r="12" spans="1:7" x14ac:dyDescent="0.25">
      <c r="C12" t="str">
        <f>IF(B13="Single value","Value",IF(B13="Range of values","Start",IF(B13="Monte Carlo","Mean","ERROR")))</f>
        <v>Value</v>
      </c>
      <c r="D12" t="str">
        <f>IF(B13="Single value","",IF(B13="Range of values","Step",IF(B13="Monte Carlo","Standard deviation","ERROR")))</f>
        <v/>
      </c>
      <c r="E12" t="str">
        <f>IF(B13="Single value","",IF(B13="Range of values","End",IF(B13="Monte Carlo","","ERROR")))</f>
        <v/>
      </c>
    </row>
    <row r="13" spans="1:7" x14ac:dyDescent="0.25">
      <c r="A13" s="1" t="s">
        <v>26</v>
      </c>
      <c r="B13" s="1" t="s">
        <v>8</v>
      </c>
      <c r="C13" s="1">
        <v>200</v>
      </c>
      <c r="D13" s="1"/>
      <c r="E13" s="1"/>
      <c r="F13" t="s">
        <v>15</v>
      </c>
    </row>
    <row r="16" spans="1:7" x14ac:dyDescent="0.25">
      <c r="C16" t="str">
        <f>IF(B17="Single value","Value",IF(B17="Range of values","Start",IF(B17="Monte Carlo","Mean","ERROR")))</f>
        <v>Value</v>
      </c>
      <c r="D16" t="str">
        <f>IF(B17="Single value","",IF(B17="Range of values","Step",IF(B17="Monte Carlo","Standard deviation","ERROR")))</f>
        <v/>
      </c>
      <c r="E16" t="str">
        <f>IF(B17="Single value","",IF(B17="Range of values","End",IF(B17="Monte Carlo","","ERROR")))</f>
        <v/>
      </c>
    </row>
    <row r="17" spans="1:7" x14ac:dyDescent="0.25">
      <c r="A17" s="1" t="s">
        <v>31</v>
      </c>
      <c r="B17" s="1" t="s">
        <v>8</v>
      </c>
      <c r="C17" s="1">
        <v>5</v>
      </c>
      <c r="D17" s="1"/>
      <c r="E17" s="1"/>
      <c r="G17" t="s">
        <v>55</v>
      </c>
    </row>
    <row r="19" spans="1:7" x14ac:dyDescent="0.25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</row>
    <row r="20" spans="1:7" x14ac:dyDescent="0.25">
      <c r="A20" s="1" t="s">
        <v>32</v>
      </c>
      <c r="B20" s="1" t="s">
        <v>8</v>
      </c>
      <c r="C20" s="1">
        <v>2</v>
      </c>
      <c r="D20" s="1"/>
      <c r="E20" s="1"/>
      <c r="F20" t="s">
        <v>15</v>
      </c>
    </row>
    <row r="22" spans="1:7" x14ac:dyDescent="0.25">
      <c r="C22" t="str">
        <f>IF(B23="Single value","Value",IF(B23="Range of values","Start",IF(B23="Monte Carlo","Mean","ERROR")))</f>
        <v>Value</v>
      </c>
      <c r="D22" t="str">
        <f>IF(B23="Single value","",IF(B23="Range of values","Step",IF(B23="Monte Carlo","Standard deviation","ERROR")))</f>
        <v/>
      </c>
      <c r="E22" t="str">
        <f>IF(B23="Single value","",IF(B23="Range of values","End",IF(B23="Monte Carlo","","ERROR")))</f>
        <v/>
      </c>
    </row>
    <row r="23" spans="1:7" x14ac:dyDescent="0.25">
      <c r="A23" s="1" t="s">
        <v>53</v>
      </c>
      <c r="B23" s="1" t="s">
        <v>8</v>
      </c>
      <c r="C23" s="1">
        <v>2</v>
      </c>
      <c r="D23" s="1"/>
      <c r="E23" s="1"/>
      <c r="F23" t="s">
        <v>54</v>
      </c>
    </row>
  </sheetData>
  <dataValidations count="1">
    <dataValidation type="whole" operator="greaterThanOrEqual" allowBlank="1" showInputMessage="1" showErrorMessage="1" sqref="C17">
      <formula1>1</formula1>
    </dataValidation>
  </dataValidations>
  <hyperlinks>
    <hyperlink ref="G1" r:id="rId1" display="https://www.usclimatedata.com/climate/truth-or-consequences/new-mexico/united-states/usnm0332"/>
  </hyperlinks>
  <pageMargins left="0.7" right="0.7" top="0.75" bottom="0.75" header="0.3" footer="0.3"/>
  <pageSetup orientation="portrait" horizontalDpi="360" verticalDpi="360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Validation!$A$2:$A$4</xm:f>
          </x14:formula1>
          <xm:sqref>B4 B13 B10 B7 B20 B23</xm:sqref>
        </x14:dataValidation>
        <x14:dataValidation type="list" allowBlank="1" showInputMessage="1" showErrorMessage="1">
          <x14:formula1>
            <xm:f>Validation!$A$2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7"/>
  <sheetViews>
    <sheetView zoomScaleNormal="100" workbookViewId="0">
      <selection activeCell="D20" sqref="D20"/>
    </sheetView>
  </sheetViews>
  <sheetFormatPr defaultRowHeight="15" x14ac:dyDescent="0.25"/>
  <cols>
    <col min="1" max="1" width="23.140625" bestFit="1" customWidth="1"/>
    <col min="2" max="2" width="15.42578125" bestFit="1" customWidth="1"/>
    <col min="4" max="4" width="10.7109375" customWidth="1"/>
    <col min="5" max="5" width="23.140625" bestFit="1" customWidth="1"/>
    <col min="6" max="6" width="11.7109375" bestFit="1" customWidth="1"/>
    <col min="7" max="7" width="15.7109375" bestFit="1" customWidth="1"/>
    <col min="8" max="8" width="11.7109375" bestFit="1" customWidth="1"/>
    <col min="9" max="9" width="7.5703125" bestFit="1" customWidth="1"/>
    <col min="12" max="12" width="7.5703125" bestFit="1" customWidth="1"/>
    <col min="14" max="14" width="15.7109375" bestFit="1" customWidth="1"/>
    <col min="15" max="15" width="11.7109375" bestFit="1" customWidth="1"/>
    <col min="19" max="19" width="5.5703125" bestFit="1" customWidth="1"/>
  </cols>
  <sheetData>
    <row r="2" spans="1:5" x14ac:dyDescent="0.25">
      <c r="A2" t="s">
        <v>37</v>
      </c>
      <c r="B2" s="8">
        <v>0.15</v>
      </c>
    </row>
    <row r="3" spans="1:5" x14ac:dyDescent="0.25">
      <c r="B3" s="8"/>
    </row>
    <row r="4" spans="1:5" x14ac:dyDescent="0.25">
      <c r="A4" s="4" t="s">
        <v>24</v>
      </c>
      <c r="B4" s="4" t="s">
        <v>38</v>
      </c>
      <c r="C4" s="4" t="s">
        <v>40</v>
      </c>
      <c r="D4" s="4" t="s">
        <v>39</v>
      </c>
      <c r="E4" s="11" t="s">
        <v>41</v>
      </c>
    </row>
    <row r="5" spans="1:5" x14ac:dyDescent="0.25">
      <c r="A5" t="s">
        <v>20</v>
      </c>
      <c r="B5" s="2"/>
      <c r="C5">
        <v>2</v>
      </c>
      <c r="D5">
        <f>IF(AND(ISBLANK(B5), ISBLANK(C5)), "ERROR", IF(NOT(OR(ISBLANK(B5), ISBLANK(C5))), "ERROR", IF(ISBLANK(B5), C5, B5)))</f>
        <v>2</v>
      </c>
    </row>
    <row r="6" spans="1:5" x14ac:dyDescent="0.25">
      <c r="A6" t="s">
        <v>22</v>
      </c>
      <c r="B6" s="2">
        <f>I15*I16</f>
        <v>0</v>
      </c>
      <c r="D6">
        <f t="shared" ref="D6:D15" si="0">B6*0.453592</f>
        <v>0</v>
      </c>
    </row>
    <row r="7" spans="1:5" x14ac:dyDescent="0.25">
      <c r="A7" t="s">
        <v>21</v>
      </c>
      <c r="B7" s="2">
        <v>0.5</v>
      </c>
      <c r="D7">
        <f t="shared" si="0"/>
        <v>0.226796</v>
      </c>
    </row>
    <row r="8" spans="1:5" x14ac:dyDescent="0.25">
      <c r="A8" t="s">
        <v>19</v>
      </c>
      <c r="B8" s="2">
        <f>I11*I12</f>
        <v>0</v>
      </c>
      <c r="D8">
        <f t="shared" si="0"/>
        <v>0</v>
      </c>
    </row>
    <row r="9" spans="1:5" x14ac:dyDescent="0.25">
      <c r="A9" t="s">
        <v>18</v>
      </c>
      <c r="B9" s="2">
        <v>2.5</v>
      </c>
      <c r="D9">
        <f t="shared" si="0"/>
        <v>1.13398</v>
      </c>
    </row>
    <row r="10" spans="1:5" x14ac:dyDescent="0.25">
      <c r="A10" t="s">
        <v>17</v>
      </c>
      <c r="B10" s="2">
        <v>4</v>
      </c>
      <c r="D10">
        <f t="shared" si="0"/>
        <v>1.814368</v>
      </c>
    </row>
    <row r="11" spans="1:5" x14ac:dyDescent="0.25">
      <c r="A11" t="s">
        <v>16</v>
      </c>
      <c r="B11" s="2">
        <v>0</v>
      </c>
      <c r="D11">
        <f t="shared" si="0"/>
        <v>0</v>
      </c>
    </row>
    <row r="12" spans="1:5" x14ac:dyDescent="0.25">
      <c r="A12" t="s">
        <v>4</v>
      </c>
      <c r="B12" s="2">
        <v>2</v>
      </c>
      <c r="D12">
        <f t="shared" si="0"/>
        <v>0.90718399999999999</v>
      </c>
    </row>
    <row r="13" spans="1:5" x14ac:dyDescent="0.25">
      <c r="A13" t="s">
        <v>2</v>
      </c>
      <c r="B13" s="2">
        <f>P12*P11*((PI()*(P9-P10)^2))</f>
        <v>0</v>
      </c>
      <c r="D13">
        <f t="shared" si="0"/>
        <v>0</v>
      </c>
    </row>
    <row r="14" spans="1:5" x14ac:dyDescent="0.25">
      <c r="A14" t="s">
        <v>1</v>
      </c>
      <c r="B14" s="2">
        <v>1.5</v>
      </c>
      <c r="D14">
        <f t="shared" si="0"/>
        <v>0.68038799999999999</v>
      </c>
    </row>
    <row r="15" spans="1:5" x14ac:dyDescent="0.25">
      <c r="A15" s="9" t="s">
        <v>34</v>
      </c>
      <c r="B15" s="10">
        <f>SUM(B5:B14)*B2</f>
        <v>1.575</v>
      </c>
      <c r="C15" s="10"/>
      <c r="D15" s="9">
        <f t="shared" si="0"/>
        <v>0.71440740000000003</v>
      </c>
    </row>
    <row r="16" spans="1:5" x14ac:dyDescent="0.25">
      <c r="A16" s="7" t="s">
        <v>27</v>
      </c>
      <c r="B16" s="2">
        <f>SUM(B5:B15)</f>
        <v>12.074999999999999</v>
      </c>
      <c r="D16" s="2">
        <f>SUM(D5:D15)</f>
        <v>7.4771234</v>
      </c>
    </row>
    <row r="19" spans="1:6" x14ac:dyDescent="0.25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  <c r="F19" t="s">
        <v>23</v>
      </c>
    </row>
    <row r="20" spans="1:6" x14ac:dyDescent="0.25">
      <c r="A20" s="1" t="s">
        <v>0</v>
      </c>
      <c r="B20" s="1" t="s">
        <v>8</v>
      </c>
      <c r="C20" s="3">
        <v>17</v>
      </c>
      <c r="D20" s="1"/>
      <c r="E20" s="3"/>
      <c r="F20" t="s">
        <v>3</v>
      </c>
    </row>
    <row r="23" spans="1:6" x14ac:dyDescent="0.25">
      <c r="B23" t="s">
        <v>30</v>
      </c>
      <c r="C23">
        <v>6.125</v>
      </c>
      <c r="F23" t="s">
        <v>5</v>
      </c>
    </row>
    <row r="24" spans="1:6" x14ac:dyDescent="0.25">
      <c r="C24" t="str">
        <f>IF(B25="Single value","Value",IF(B25="Range of values","Start",IF(B25="Monte Carlo","Mean","ERROR")))</f>
        <v>Value</v>
      </c>
      <c r="D24" t="str">
        <f>IF(B25="Single value","",IF(B25="Range of values","Step",IF(B25="Monte Carlo","Standard deviation","ERROR")))</f>
        <v/>
      </c>
      <c r="E24" t="str">
        <f>IF(B25="Single value","",IF(B25="Range of values","End",IF(B25="Monte Carlo","","ERROR")))</f>
        <v/>
      </c>
    </row>
    <row r="25" spans="1:6" x14ac:dyDescent="0.25">
      <c r="A25" s="1" t="s">
        <v>6</v>
      </c>
      <c r="B25" s="1" t="s">
        <v>8</v>
      </c>
      <c r="C25" s="1">
        <f>C23*2.54/100</f>
        <v>0.15557500000000002</v>
      </c>
      <c r="D25" s="1"/>
      <c r="E25" s="1"/>
      <c r="F25" t="s">
        <v>15</v>
      </c>
    </row>
    <row r="27" spans="1:6" x14ac:dyDescent="0.25">
      <c r="A27" s="1" t="s">
        <v>35</v>
      </c>
      <c r="B27" s="1" t="s">
        <v>36</v>
      </c>
    </row>
  </sheetData>
  <pageMargins left="0.7" right="0.7" top="0.75" bottom="0.75" header="0.3" footer="0.3"/>
  <pageSetup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Validation!$A$2:$A$4</xm:f>
          </x14:formula1>
          <xm:sqref>B20:B22 B25 B28</xm:sqref>
        </x14:dataValidation>
        <x14:dataValidation type="list" allowBlank="1" showInputMessage="1" showErrorMessage="1">
          <x14:formula1>
            <xm:f>Validation!$F:$F</xm:f>
          </x14:formula1>
          <xm:sqref>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18"/>
  <sheetViews>
    <sheetView workbookViewId="0">
      <selection activeCell="C4" sqref="C4"/>
    </sheetView>
  </sheetViews>
  <sheetFormatPr defaultRowHeight="15" x14ac:dyDescent="0.25"/>
  <cols>
    <col min="1" max="1" width="23.7109375" bestFit="1" customWidth="1"/>
    <col min="2" max="2" width="11.85546875" bestFit="1" customWidth="1"/>
  </cols>
  <sheetData>
    <row r="2" spans="1:7" x14ac:dyDescent="0.25">
      <c r="C2" t="str">
        <f>IF(B3="Single value","Value",IF(B3="Range of values","Start",IF(B3="Monte Carlo","Mean","ERROR")))</f>
        <v>Value</v>
      </c>
      <c r="D2" t="str">
        <f>IF(B3="Single value","",IF(B3="Range of values","Step",IF(B3="Monte Carlo","Standard deviation","ERROR")))</f>
        <v/>
      </c>
      <c r="E2" t="str">
        <f>IF(B3="Single value","",IF(B3="Range of values","End",IF(B3="Monte Carlo","","ERROR")))</f>
        <v/>
      </c>
      <c r="F2" t="s">
        <v>23</v>
      </c>
    </row>
    <row r="3" spans="1:7" x14ac:dyDescent="0.25">
      <c r="A3" s="1" t="s">
        <v>42</v>
      </c>
      <c r="B3" s="1" t="s">
        <v>8</v>
      </c>
      <c r="C3" s="3">
        <v>0</v>
      </c>
      <c r="D3" s="1"/>
      <c r="E3" s="3"/>
      <c r="F3" t="s">
        <v>43</v>
      </c>
      <c r="G3" t="s">
        <v>44</v>
      </c>
    </row>
    <row r="5" spans="1:7" x14ac:dyDescent="0.25">
      <c r="C5" t="str">
        <f>IF(B6="Single value","Value",IF(B6="Range of values","Start",IF(B6="Monte Carlo","Mean","ERROR")))</f>
        <v>Value</v>
      </c>
      <c r="D5" t="str">
        <f>IF(B6="Single value","",IF(B6="Range of values","Step",IF(B6="Monte Carlo","Standard deviation","ERROR")))</f>
        <v/>
      </c>
      <c r="E5" t="str">
        <f>IF(B6="Single value","",IF(B6="Range of values","End",IF(B6="Monte Carlo","","ERROR")))</f>
        <v/>
      </c>
      <c r="F5" t="s">
        <v>23</v>
      </c>
    </row>
    <row r="6" spans="1:7" ht="17.25" x14ac:dyDescent="0.25">
      <c r="A6" s="1" t="s">
        <v>52</v>
      </c>
      <c r="B6" s="1" t="s">
        <v>8</v>
      </c>
      <c r="C6" s="3">
        <v>1</v>
      </c>
      <c r="D6" s="1"/>
      <c r="E6" s="3"/>
      <c r="F6" t="s">
        <v>48</v>
      </c>
    </row>
    <row r="8" spans="1:7" x14ac:dyDescent="0.25">
      <c r="C8" t="str">
        <f>IF(B9="Single value","Value",IF(B9="Range of values","Start",IF(B9="Monte Carlo","Mean","ERROR")))</f>
        <v>Value</v>
      </c>
      <c r="D8" t="str">
        <f>IF(B9="Single value","",IF(B9="Range of values","Step",IF(B9="Monte Carlo","Standard deviation","ERROR")))</f>
        <v/>
      </c>
      <c r="E8" t="str">
        <f>IF(B9="Single value","",IF(B9="Range of values","End",IF(B9="Monte Carlo","","ERROR")))</f>
        <v/>
      </c>
      <c r="F8" t="s">
        <v>23</v>
      </c>
    </row>
    <row r="9" spans="1:7" ht="17.25" x14ac:dyDescent="0.25">
      <c r="A9" s="1" t="s">
        <v>51</v>
      </c>
      <c r="B9" s="1" t="s">
        <v>8</v>
      </c>
      <c r="C9" s="3">
        <v>1</v>
      </c>
      <c r="D9" s="1"/>
      <c r="E9" s="3"/>
      <c r="F9" t="s">
        <v>50</v>
      </c>
    </row>
    <row r="11" spans="1:7" x14ac:dyDescent="0.25">
      <c r="C11" t="str">
        <f>IF(B12="Single value","Value",IF(B12="Range of values","Start",IF(B12="Monte Carlo","Mean","ERROR")))</f>
        <v>Value</v>
      </c>
      <c r="D11" t="str">
        <f>IF(B12="Single value","",IF(B12="Range of values","Step",IF(B12="Monte Carlo","Standard deviation","ERROR")))</f>
        <v/>
      </c>
      <c r="E11" t="str">
        <f>IF(B12="Single value","",IF(B12="Range of values","End",IF(B12="Monte Carlo","","ERROR")))</f>
        <v/>
      </c>
      <c r="F11" t="s">
        <v>23</v>
      </c>
    </row>
    <row r="12" spans="1:7" x14ac:dyDescent="0.25">
      <c r="A12" s="1" t="s">
        <v>45</v>
      </c>
      <c r="B12" s="1" t="s">
        <v>8</v>
      </c>
      <c r="C12" s="3">
        <v>200</v>
      </c>
      <c r="D12" s="1"/>
      <c r="E12" s="3"/>
      <c r="F12" t="s">
        <v>15</v>
      </c>
      <c r="G12" t="s">
        <v>46</v>
      </c>
    </row>
    <row r="14" spans="1:7" x14ac:dyDescent="0.25">
      <c r="C14" t="str">
        <f>IF(B15="Single value","Value",IF(B15="Range of values","Start",IF(B15="Monte Carlo","Mean","ERROR")))</f>
        <v>Value</v>
      </c>
      <c r="D14" t="str">
        <f>IF(B15="Single value","",IF(B15="Range of values","Step",IF(B15="Monte Carlo","Standard deviation","ERROR")))</f>
        <v/>
      </c>
      <c r="E14" t="str">
        <f>IF(B15="Single value","",IF(B15="Range of values","End",IF(B15="Monte Carlo","","ERROR")))</f>
        <v/>
      </c>
      <c r="F14" t="s">
        <v>23</v>
      </c>
    </row>
    <row r="15" spans="1:7" x14ac:dyDescent="0.25">
      <c r="A15" s="1" t="s">
        <v>47</v>
      </c>
      <c r="B15" s="1" t="s">
        <v>8</v>
      </c>
      <c r="C15" s="3">
        <v>1</v>
      </c>
      <c r="D15" s="1"/>
      <c r="E15" s="3"/>
      <c r="F15" t="s">
        <v>48</v>
      </c>
    </row>
    <row r="17" spans="1:6" x14ac:dyDescent="0.25">
      <c r="C17" t="str">
        <f>IF(B18="Single value","Value",IF(B18="Range of values","Start",IF(B18="Monte Carlo","Mean","ERROR")))</f>
        <v>Value</v>
      </c>
      <c r="D17" t="str">
        <f>IF(B18="Single value","",IF(B18="Range of values","Step",IF(B18="Monte Carlo","Standard deviation","ERROR")))</f>
        <v/>
      </c>
      <c r="E17" t="str">
        <f>IF(B18="Single value","",IF(B18="Range of values","End",IF(B18="Monte Carlo","","ERROR")))</f>
        <v/>
      </c>
      <c r="F17" t="s">
        <v>23</v>
      </c>
    </row>
    <row r="18" spans="1:6" ht="17.25" x14ac:dyDescent="0.25">
      <c r="A18" s="1" t="s">
        <v>49</v>
      </c>
      <c r="B18" s="1" t="s">
        <v>8</v>
      </c>
      <c r="C18" s="3">
        <v>5</v>
      </c>
      <c r="D18" s="1"/>
      <c r="E18" s="3"/>
      <c r="F18" t="s">
        <v>50</v>
      </c>
    </row>
  </sheetData>
  <pageMargins left="0.7" right="0.7" top="0.75" bottom="0.75" header="0.3" footer="0.3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Validation!$A$2:$A$4</xm:f>
          </x14:formula1>
          <xm:sqref>B3 B12 B15 B18 B9 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46"/>
  <sheetViews>
    <sheetView workbookViewId="0">
      <selection activeCell="B10" sqref="B10"/>
    </sheetView>
  </sheetViews>
  <sheetFormatPr defaultRowHeight="15" x14ac:dyDescent="0.25"/>
  <cols>
    <col min="5" max="5" width="14" customWidth="1"/>
    <col min="6" max="6" width="19.42578125" bestFit="1" customWidth="1"/>
  </cols>
  <sheetData>
    <row r="1" spans="1:1" x14ac:dyDescent="0.25">
      <c r="A1" t="s">
        <v>7</v>
      </c>
    </row>
    <row r="2" spans="1:1" x14ac:dyDescent="0.25">
      <c r="A2" t="s">
        <v>8</v>
      </c>
    </row>
    <row r="3" spans="1:1" x14ac:dyDescent="0.25">
      <c r="A3" t="s">
        <v>9</v>
      </c>
    </row>
    <row r="4" spans="1:1" x14ac:dyDescent="0.25">
      <c r="A4" t="s">
        <v>10</v>
      </c>
    </row>
    <row r="41" spans="5:5" x14ac:dyDescent="0.25">
      <c r="E41" t="str">
        <f>IFERROR(INDEX(MotorList,ROW()-2),"")</f>
        <v/>
      </c>
    </row>
    <row r="42" spans="5:5" x14ac:dyDescent="0.25">
      <c r="E42" t="str">
        <f>IFERROR(INDEX(MotorList,ROW()-2),"")</f>
        <v/>
      </c>
    </row>
    <row r="43" spans="5:5" x14ac:dyDescent="0.25">
      <c r="E43" t="str">
        <f>IFERROR(INDEX(MotorList,ROW()-2),"")</f>
        <v/>
      </c>
    </row>
    <row r="44" spans="5:5" x14ac:dyDescent="0.25">
      <c r="E44" t="str">
        <f>IFERROR(INDEX(MotorList,ROW()-2),"")</f>
        <v/>
      </c>
    </row>
    <row r="45" spans="5:5" x14ac:dyDescent="0.25">
      <c r="E45" t="str">
        <f>IFERROR(INDEX(MotorList,ROW()-2),"")</f>
        <v/>
      </c>
    </row>
    <row r="46" spans="5:5" x14ac:dyDescent="0.25">
      <c r="E46" t="str">
        <f>IFERROR(INDEX(MotorList,ROW()-2),"")</f>
        <v/>
      </c>
    </row>
    <row r="47" spans="5:5" x14ac:dyDescent="0.25">
      <c r="E47" t="str">
        <f>IFERROR(INDEX(MotorList,ROW()-2),"")</f>
        <v/>
      </c>
    </row>
    <row r="48" spans="5:5" x14ac:dyDescent="0.25">
      <c r="E48" t="str">
        <f>IFERROR(INDEX(MotorList,ROW()-2),"")</f>
        <v/>
      </c>
    </row>
    <row r="49" spans="5:5" x14ac:dyDescent="0.25">
      <c r="E49" t="str">
        <f>IFERROR(INDEX(MotorList,ROW()-2),"")</f>
        <v/>
      </c>
    </row>
    <row r="50" spans="5:5" x14ac:dyDescent="0.25">
      <c r="E50" t="str">
        <f>IFERROR(INDEX(MotorList,ROW()-2),"")</f>
        <v/>
      </c>
    </row>
    <row r="51" spans="5:5" x14ac:dyDescent="0.25">
      <c r="E51" t="str">
        <f>IFERROR(INDEX(MotorList,ROW()-2),"")</f>
        <v/>
      </c>
    </row>
    <row r="52" spans="5:5" x14ac:dyDescent="0.25">
      <c r="E52" t="str">
        <f>IFERROR(INDEX(MotorList,ROW()-2),"")</f>
        <v/>
      </c>
    </row>
    <row r="53" spans="5:5" x14ac:dyDescent="0.25">
      <c r="E53" t="str">
        <f>IFERROR(INDEX(MotorList,ROW()-2),"")</f>
        <v/>
      </c>
    </row>
    <row r="54" spans="5:5" x14ac:dyDescent="0.25">
      <c r="E54" t="str">
        <f>IFERROR(INDEX(MotorList,ROW()-2),"")</f>
        <v/>
      </c>
    </row>
    <row r="55" spans="5:5" x14ac:dyDescent="0.25">
      <c r="E55" t="str">
        <f>IFERROR(INDEX(MotorList,ROW()-2),"")</f>
        <v/>
      </c>
    </row>
    <row r="56" spans="5:5" x14ac:dyDescent="0.25">
      <c r="E56" t="str">
        <f>IFERROR(INDEX(MotorList,ROW()-2),"")</f>
        <v/>
      </c>
    </row>
    <row r="57" spans="5:5" x14ac:dyDescent="0.25">
      <c r="E57" t="str">
        <f>IFERROR(INDEX(MotorList,ROW()-2),"")</f>
        <v/>
      </c>
    </row>
    <row r="58" spans="5:5" x14ac:dyDescent="0.25">
      <c r="E58" t="str">
        <f>IFERROR(INDEX(MotorList,ROW()-2),"")</f>
        <v/>
      </c>
    </row>
    <row r="59" spans="5:5" x14ac:dyDescent="0.25">
      <c r="E59" t="str">
        <f>IFERROR(INDEX(MotorList,ROW()-2),"")</f>
        <v/>
      </c>
    </row>
    <row r="60" spans="5:5" x14ac:dyDescent="0.25">
      <c r="E60" t="str">
        <f>IFERROR(INDEX(MotorList,ROW()-2),"")</f>
        <v/>
      </c>
    </row>
    <row r="61" spans="5:5" x14ac:dyDescent="0.25">
      <c r="E61" t="str">
        <f>IFERROR(INDEX(MotorList,ROW()-2),"")</f>
        <v/>
      </c>
    </row>
    <row r="62" spans="5:5" x14ac:dyDescent="0.25">
      <c r="E62" t="str">
        <f>IFERROR(INDEX(MotorList,ROW()-2),"")</f>
        <v/>
      </c>
    </row>
    <row r="63" spans="5:5" x14ac:dyDescent="0.25">
      <c r="E63" t="str">
        <f>IFERROR(INDEX(MotorList,ROW()-2),"")</f>
        <v/>
      </c>
    </row>
    <row r="64" spans="5:5" x14ac:dyDescent="0.25">
      <c r="E64" t="str">
        <f>IFERROR(INDEX(MotorList,ROW()-2),"")</f>
        <v/>
      </c>
    </row>
    <row r="65" spans="5:5" x14ac:dyDescent="0.25">
      <c r="E65" t="str">
        <f>IFERROR(INDEX(MotorList,ROW()-2),"")</f>
        <v/>
      </c>
    </row>
    <row r="66" spans="5:5" x14ac:dyDescent="0.25">
      <c r="E66" t="str">
        <f>IFERROR(INDEX(MotorList,ROW()-2),"")</f>
        <v/>
      </c>
    </row>
    <row r="67" spans="5:5" x14ac:dyDescent="0.25">
      <c r="E67" t="str">
        <f>IFERROR(INDEX(MotorList,ROW()-2),"")</f>
        <v/>
      </c>
    </row>
    <row r="68" spans="5:5" x14ac:dyDescent="0.25">
      <c r="E68" t="str">
        <f>IFERROR(INDEX(MotorList,ROW()-2),"")</f>
        <v/>
      </c>
    </row>
    <row r="69" spans="5:5" x14ac:dyDescent="0.25">
      <c r="E69" t="str">
        <f>IFERROR(INDEX(MotorList,ROW()-2),"")</f>
        <v/>
      </c>
    </row>
    <row r="70" spans="5:5" x14ac:dyDescent="0.25">
      <c r="E70" t="str">
        <f>IFERROR(INDEX(MotorList,ROW()-2),"")</f>
        <v/>
      </c>
    </row>
    <row r="71" spans="5:5" x14ac:dyDescent="0.25">
      <c r="E71" t="str">
        <f>IFERROR(INDEX(MotorList,ROW()-2),"")</f>
        <v/>
      </c>
    </row>
    <row r="72" spans="5:5" x14ac:dyDescent="0.25">
      <c r="E72" t="str">
        <f>IFERROR(INDEX(MotorList,ROW()-2),"")</f>
        <v/>
      </c>
    </row>
    <row r="73" spans="5:5" x14ac:dyDescent="0.25">
      <c r="E73" t="str">
        <f>IFERROR(INDEX(MotorList,ROW()-2),"")</f>
        <v/>
      </c>
    </row>
    <row r="74" spans="5:5" x14ac:dyDescent="0.25">
      <c r="E74" t="str">
        <f>IFERROR(INDEX(MotorList,ROW()-2),"")</f>
        <v/>
      </c>
    </row>
    <row r="75" spans="5:5" x14ac:dyDescent="0.25">
      <c r="E75" t="str">
        <f>IFERROR(INDEX(MotorList,ROW()-2),"")</f>
        <v/>
      </c>
    </row>
    <row r="76" spans="5:5" x14ac:dyDescent="0.25">
      <c r="E76" t="str">
        <f>IFERROR(INDEX(MotorList,ROW()-2),"")</f>
        <v/>
      </c>
    </row>
    <row r="77" spans="5:5" x14ac:dyDescent="0.25">
      <c r="E77" t="str">
        <f>IFERROR(INDEX(MotorList,ROW()-2),"")</f>
        <v/>
      </c>
    </row>
    <row r="78" spans="5:5" x14ac:dyDescent="0.25">
      <c r="E78" t="str">
        <f>IFERROR(INDEX(MotorList,ROW()-2),"")</f>
        <v/>
      </c>
    </row>
    <row r="79" spans="5:5" x14ac:dyDescent="0.25">
      <c r="E79" t="str">
        <f>IFERROR(INDEX(MotorList,ROW()-2),"")</f>
        <v/>
      </c>
    </row>
    <row r="80" spans="5:5" x14ac:dyDescent="0.25">
      <c r="E80" t="str">
        <f>IFERROR(INDEX(MotorList,ROW()-2),"")</f>
        <v/>
      </c>
    </row>
    <row r="81" spans="5:5" x14ac:dyDescent="0.25">
      <c r="E81" t="str">
        <f>IFERROR(INDEX(MotorList,ROW()-2),"")</f>
        <v/>
      </c>
    </row>
    <row r="82" spans="5:5" x14ac:dyDescent="0.25">
      <c r="E82" t="str">
        <f>IFERROR(INDEX(MotorList,ROW()-2),"")</f>
        <v/>
      </c>
    </row>
    <row r="83" spans="5:5" x14ac:dyDescent="0.25">
      <c r="E83" t="str">
        <f>IFERROR(INDEX(MotorList,ROW()-2),"")</f>
        <v/>
      </c>
    </row>
    <row r="84" spans="5:5" x14ac:dyDescent="0.25">
      <c r="E84" t="str">
        <f>IFERROR(INDEX(MotorList,ROW()-2),"")</f>
        <v/>
      </c>
    </row>
    <row r="85" spans="5:5" x14ac:dyDescent="0.25">
      <c r="E85" t="str">
        <f>IFERROR(INDEX(MotorList,ROW()-2),"")</f>
        <v/>
      </c>
    </row>
    <row r="86" spans="5:5" x14ac:dyDescent="0.25">
      <c r="E86" t="str">
        <f>IFERROR(INDEX(MotorList,ROW()-2),"")</f>
        <v/>
      </c>
    </row>
    <row r="87" spans="5:5" x14ac:dyDescent="0.25">
      <c r="E87" t="str">
        <f>IFERROR(INDEX(MotorList,ROW()-2),"")</f>
        <v/>
      </c>
    </row>
    <row r="88" spans="5:5" x14ac:dyDescent="0.25">
      <c r="E88" t="str">
        <f>IFERROR(INDEX(MotorList,ROW()-2),"")</f>
        <v/>
      </c>
    </row>
    <row r="89" spans="5:5" x14ac:dyDescent="0.25">
      <c r="E89" t="str">
        <f>IFERROR(INDEX(MotorList,ROW()-2),"")</f>
        <v/>
      </c>
    </row>
    <row r="90" spans="5:5" x14ac:dyDescent="0.25">
      <c r="E90" t="str">
        <f>IFERROR(INDEX(MotorList,ROW()-2),"")</f>
        <v/>
      </c>
    </row>
    <row r="91" spans="5:5" x14ac:dyDescent="0.25">
      <c r="E91" t="str">
        <f>IFERROR(INDEX(MotorList,ROW()-2),"")</f>
        <v/>
      </c>
    </row>
    <row r="92" spans="5:5" x14ac:dyDescent="0.25">
      <c r="E92" t="str">
        <f>IFERROR(INDEX(MotorList,ROW()-2),"")</f>
        <v/>
      </c>
    </row>
    <row r="93" spans="5:5" x14ac:dyDescent="0.25">
      <c r="E93" t="str">
        <f>IFERROR(INDEX(MotorList,ROW()-2),"")</f>
        <v/>
      </c>
    </row>
    <row r="94" spans="5:5" x14ac:dyDescent="0.25">
      <c r="E94" t="str">
        <f>IFERROR(INDEX(MotorList,ROW()-2),"")</f>
        <v/>
      </c>
    </row>
    <row r="95" spans="5:5" x14ac:dyDescent="0.25">
      <c r="E95" t="str">
        <f>IFERROR(INDEX(MotorList,ROW()-2),"")</f>
        <v/>
      </c>
    </row>
    <row r="96" spans="5:5" x14ac:dyDescent="0.25">
      <c r="E96" t="str">
        <f>IFERROR(INDEX(MotorList,ROW()-2),"")</f>
        <v/>
      </c>
    </row>
    <row r="97" spans="5:5" x14ac:dyDescent="0.25">
      <c r="E97" t="str">
        <f>IFERROR(INDEX(MotorList,ROW()-2),"")</f>
        <v/>
      </c>
    </row>
    <row r="98" spans="5:5" x14ac:dyDescent="0.25">
      <c r="E98" t="str">
        <f>IFERROR(INDEX(MotorList,ROW()-2),"")</f>
        <v/>
      </c>
    </row>
    <row r="99" spans="5:5" x14ac:dyDescent="0.25">
      <c r="E99" t="str">
        <f>IFERROR(INDEX(MotorList,ROW()-2),"")</f>
        <v/>
      </c>
    </row>
    <row r="100" spans="5:5" x14ac:dyDescent="0.25">
      <c r="E100" t="str">
        <f>IFERROR(INDEX(MotorList,ROW()-2),"")</f>
        <v/>
      </c>
    </row>
    <row r="101" spans="5:5" x14ac:dyDescent="0.25">
      <c r="E101" t="str">
        <f>IFERROR(INDEX(MotorList,ROW()-2),"")</f>
        <v/>
      </c>
    </row>
    <row r="102" spans="5:5" x14ac:dyDescent="0.25">
      <c r="E102" t="str">
        <f>IFERROR(INDEX(MotorList,ROW()-2),"")</f>
        <v/>
      </c>
    </row>
    <row r="103" spans="5:5" x14ac:dyDescent="0.25">
      <c r="E103" t="str">
        <f>IFERROR(INDEX(MotorList,ROW()-2),"")</f>
        <v/>
      </c>
    </row>
    <row r="104" spans="5:5" x14ac:dyDescent="0.25">
      <c r="E104" t="str">
        <f>IFERROR(INDEX(MotorList,ROW()-2),"")</f>
        <v/>
      </c>
    </row>
    <row r="105" spans="5:5" x14ac:dyDescent="0.25">
      <c r="E105" t="str">
        <f>IFERROR(INDEX(MotorList,ROW()-2),"")</f>
        <v/>
      </c>
    </row>
    <row r="106" spans="5:5" x14ac:dyDescent="0.25">
      <c r="E106" t="str">
        <f>IFERROR(INDEX(MotorList,ROW()-2),"")</f>
        <v/>
      </c>
    </row>
    <row r="107" spans="5:5" x14ac:dyDescent="0.25">
      <c r="E107" t="str">
        <f>IFERROR(INDEX(MotorList,ROW()-2),"")</f>
        <v/>
      </c>
    </row>
    <row r="108" spans="5:5" x14ac:dyDescent="0.25">
      <c r="E108" t="str">
        <f>IFERROR(INDEX(MotorList,ROW()-2),"")</f>
        <v/>
      </c>
    </row>
    <row r="109" spans="5:5" x14ac:dyDescent="0.25">
      <c r="E109" t="str">
        <f>IFERROR(INDEX(MotorList,ROW()-2),"")</f>
        <v/>
      </c>
    </row>
    <row r="110" spans="5:5" x14ac:dyDescent="0.25">
      <c r="E110" t="str">
        <f>IFERROR(INDEX(MotorList,ROW()-2),"")</f>
        <v/>
      </c>
    </row>
    <row r="111" spans="5:5" x14ac:dyDescent="0.25">
      <c r="E111" t="str">
        <f>IFERROR(INDEX(MotorList,ROW()-2),"")</f>
        <v/>
      </c>
    </row>
    <row r="112" spans="5:5" x14ac:dyDescent="0.25">
      <c r="E112" t="str">
        <f>IFERROR(INDEX(MotorList,ROW()-2),"")</f>
        <v/>
      </c>
    </row>
    <row r="113" spans="5:5" x14ac:dyDescent="0.25">
      <c r="E113" t="str">
        <f>IFERROR(INDEX(MotorList,ROW()-2),"")</f>
        <v/>
      </c>
    </row>
    <row r="114" spans="5:5" x14ac:dyDescent="0.25">
      <c r="E114" t="str">
        <f>IFERROR(INDEX(MotorList,ROW()-2),"")</f>
        <v/>
      </c>
    </row>
    <row r="115" spans="5:5" x14ac:dyDescent="0.25">
      <c r="E115" t="str">
        <f>IFERROR(INDEX(MotorList,ROW()-2),"")</f>
        <v/>
      </c>
    </row>
    <row r="116" spans="5:5" x14ac:dyDescent="0.25">
      <c r="E116" t="str">
        <f>IFERROR(INDEX(MotorList,ROW()-2),"")</f>
        <v/>
      </c>
    </row>
    <row r="117" spans="5:5" x14ac:dyDescent="0.25">
      <c r="E117" t="str">
        <f>IFERROR(INDEX(MotorList,ROW()-2),"")</f>
        <v/>
      </c>
    </row>
    <row r="118" spans="5:5" x14ac:dyDescent="0.25">
      <c r="E118" t="str">
        <f>IFERROR(INDEX(MotorList,ROW()-2),"")</f>
        <v/>
      </c>
    </row>
    <row r="119" spans="5:5" x14ac:dyDescent="0.25">
      <c r="E119" t="str">
        <f>IFERROR(INDEX(MotorList,ROW()-2),"")</f>
        <v/>
      </c>
    </row>
    <row r="120" spans="5:5" x14ac:dyDescent="0.25">
      <c r="E120" t="str">
        <f>IFERROR(INDEX(MotorList,ROW()-2),"")</f>
        <v/>
      </c>
    </row>
    <row r="121" spans="5:5" x14ac:dyDescent="0.25">
      <c r="E121" t="str">
        <f>IFERROR(INDEX(MotorList,ROW()-2),"")</f>
        <v/>
      </c>
    </row>
    <row r="122" spans="5:5" x14ac:dyDescent="0.25">
      <c r="E122" t="str">
        <f>IFERROR(INDEX(MotorList,ROW()-2),"")</f>
        <v/>
      </c>
    </row>
    <row r="123" spans="5:5" x14ac:dyDescent="0.25">
      <c r="E123" t="str">
        <f>IFERROR(INDEX(MotorList,ROW()-2),"")</f>
        <v/>
      </c>
    </row>
    <row r="124" spans="5:5" x14ac:dyDescent="0.25">
      <c r="E124" t="str">
        <f>IFERROR(INDEX(MotorList,ROW()-2),"")</f>
        <v/>
      </c>
    </row>
    <row r="125" spans="5:5" x14ac:dyDescent="0.25">
      <c r="E125" t="str">
        <f>IFERROR(INDEX(MotorList,ROW()-2),"")</f>
        <v/>
      </c>
    </row>
    <row r="126" spans="5:5" x14ac:dyDescent="0.25">
      <c r="E126" t="str">
        <f>IFERROR(INDEX(MotorList,ROW()-2),"")</f>
        <v/>
      </c>
    </row>
    <row r="127" spans="5:5" x14ac:dyDescent="0.25">
      <c r="E127" t="str">
        <f>IFERROR(INDEX(MotorList,ROW()-2),"")</f>
        <v/>
      </c>
    </row>
    <row r="128" spans="5:5" x14ac:dyDescent="0.25">
      <c r="E128" t="str">
        <f>IFERROR(INDEX(MotorList,ROW()-2),"")</f>
        <v/>
      </c>
    </row>
    <row r="129" spans="5:5" x14ac:dyDescent="0.25">
      <c r="E129" t="str">
        <f>IFERROR(INDEX(MotorList,ROW()-2),"")</f>
        <v/>
      </c>
    </row>
    <row r="130" spans="5:5" x14ac:dyDescent="0.25">
      <c r="E130" t="str">
        <f>IFERROR(INDEX(MotorList,ROW()-2),"")</f>
        <v/>
      </c>
    </row>
    <row r="131" spans="5:5" x14ac:dyDescent="0.25">
      <c r="E131" t="str">
        <f>IFERROR(INDEX(MotorList,ROW()-2),"")</f>
        <v/>
      </c>
    </row>
    <row r="132" spans="5:5" x14ac:dyDescent="0.25">
      <c r="E132" t="str">
        <f>IFERROR(INDEX(MotorList,ROW()-2),"")</f>
        <v/>
      </c>
    </row>
    <row r="133" spans="5:5" x14ac:dyDescent="0.25">
      <c r="E133" t="str">
        <f>IFERROR(INDEX(MotorList,ROW()-2),"")</f>
        <v/>
      </c>
    </row>
    <row r="134" spans="5:5" x14ac:dyDescent="0.25">
      <c r="E134" t="str">
        <f>IFERROR(INDEX(MotorList,ROW()-2),"")</f>
        <v/>
      </c>
    </row>
    <row r="135" spans="5:5" x14ac:dyDescent="0.25">
      <c r="E135" t="str">
        <f>IFERROR(INDEX(MotorList,ROW()-2),"")</f>
        <v/>
      </c>
    </row>
    <row r="136" spans="5:5" x14ac:dyDescent="0.25">
      <c r="E136" t="str">
        <f>IFERROR(INDEX(MotorList,ROW()-2),"")</f>
        <v/>
      </c>
    </row>
    <row r="137" spans="5:5" x14ac:dyDescent="0.25">
      <c r="E137" t="str">
        <f>IFERROR(INDEX(MotorList,ROW()-2),"")</f>
        <v/>
      </c>
    </row>
    <row r="138" spans="5:5" x14ac:dyDescent="0.25">
      <c r="E138" t="str">
        <f>IFERROR(INDEX(MotorList,ROW()-2),"")</f>
        <v/>
      </c>
    </row>
    <row r="139" spans="5:5" x14ac:dyDescent="0.25">
      <c r="E139" t="str">
        <f>IFERROR(INDEX(MotorList,ROW()-2),"")</f>
        <v/>
      </c>
    </row>
    <row r="140" spans="5:5" x14ac:dyDescent="0.25">
      <c r="E140" t="str">
        <f>IFERROR(INDEX(MotorList,ROW()-2),"")</f>
        <v/>
      </c>
    </row>
    <row r="141" spans="5:5" x14ac:dyDescent="0.25">
      <c r="E141" t="str">
        <f>IFERROR(INDEX(MotorList,ROW()-2),"")</f>
        <v/>
      </c>
    </row>
    <row r="142" spans="5:5" x14ac:dyDescent="0.25">
      <c r="E142" t="str">
        <f>IFERROR(INDEX(MotorList,ROW()-2),"")</f>
        <v/>
      </c>
    </row>
    <row r="143" spans="5:5" x14ac:dyDescent="0.25">
      <c r="E143" t="str">
        <f>IFERROR(INDEX(MotorList,ROW()-2),"")</f>
        <v/>
      </c>
    </row>
    <row r="144" spans="5:5" x14ac:dyDescent="0.25">
      <c r="E144" t="str">
        <f>IFERROR(INDEX(MotorList,ROW()-2),"")</f>
        <v/>
      </c>
    </row>
    <row r="145" spans="5:5" x14ac:dyDescent="0.25">
      <c r="E145" t="str">
        <f>IFERROR(INDEX(MotorList,ROW()-2),"")</f>
        <v/>
      </c>
    </row>
    <row r="146" spans="5:5" x14ac:dyDescent="0.25">
      <c r="E146" t="str">
        <f>IFERROR(INDEX(MotorList,ROW()-2),"")</f>
        <v/>
      </c>
    </row>
    <row r="147" spans="5:5" x14ac:dyDescent="0.25">
      <c r="E147" t="str">
        <f>IFERROR(INDEX(MotorList,ROW()-2),"")</f>
        <v/>
      </c>
    </row>
    <row r="148" spans="5:5" x14ac:dyDescent="0.25">
      <c r="E148" t="str">
        <f>IFERROR(INDEX(MotorList,ROW()-2),"")</f>
        <v/>
      </c>
    </row>
    <row r="149" spans="5:5" x14ac:dyDescent="0.25">
      <c r="E149" t="str">
        <f>IFERROR(INDEX(MotorList,ROW()-2),"")</f>
        <v/>
      </c>
    </row>
    <row r="150" spans="5:5" x14ac:dyDescent="0.25">
      <c r="E150" t="str">
        <f>IFERROR(INDEX(MotorList,ROW()-2),"")</f>
        <v/>
      </c>
    </row>
    <row r="151" spans="5:5" x14ac:dyDescent="0.25">
      <c r="E151" t="str">
        <f>IFERROR(INDEX(MotorList,ROW()-2),"")</f>
        <v/>
      </c>
    </row>
    <row r="152" spans="5:5" x14ac:dyDescent="0.25">
      <c r="E152" t="str">
        <f>IFERROR(INDEX(MotorList,ROW()-2),"")</f>
        <v/>
      </c>
    </row>
    <row r="153" spans="5:5" x14ac:dyDescent="0.25">
      <c r="E153" t="str">
        <f>IFERROR(INDEX(MotorList,ROW()-2),"")</f>
        <v/>
      </c>
    </row>
    <row r="154" spans="5:5" x14ac:dyDescent="0.25">
      <c r="E154" t="str">
        <f>IFERROR(INDEX(MotorList,ROW()-2),"")</f>
        <v/>
      </c>
    </row>
    <row r="155" spans="5:5" x14ac:dyDescent="0.25">
      <c r="E155" t="str">
        <f>IFERROR(INDEX(MotorList,ROW()-2),"")</f>
        <v/>
      </c>
    </row>
    <row r="156" spans="5:5" x14ac:dyDescent="0.25">
      <c r="E156" t="str">
        <f>IFERROR(INDEX(MotorList,ROW()-2),"")</f>
        <v/>
      </c>
    </row>
    <row r="157" spans="5:5" x14ac:dyDescent="0.25">
      <c r="E157" t="str">
        <f>IFERROR(INDEX(MotorList,ROW()-2),"")</f>
        <v/>
      </c>
    </row>
    <row r="158" spans="5:5" x14ac:dyDescent="0.25">
      <c r="E158" t="str">
        <f>IFERROR(INDEX(MotorList,ROW()-2),"")</f>
        <v/>
      </c>
    </row>
    <row r="159" spans="5:5" x14ac:dyDescent="0.25">
      <c r="E159" t="str">
        <f>IFERROR(INDEX(MotorList,ROW()-2),"")</f>
        <v/>
      </c>
    </row>
    <row r="160" spans="5:5" x14ac:dyDescent="0.25">
      <c r="E160" t="str">
        <f>IFERROR(INDEX(MotorList,ROW()-2),"")</f>
        <v/>
      </c>
    </row>
    <row r="161" spans="5:5" x14ac:dyDescent="0.25">
      <c r="E161" t="str">
        <f>IFERROR(INDEX(MotorList,ROW()-2),"")</f>
        <v/>
      </c>
    </row>
    <row r="162" spans="5:5" x14ac:dyDescent="0.25">
      <c r="E162" t="str">
        <f>IFERROR(INDEX(MotorList,ROW()-2),"")</f>
        <v/>
      </c>
    </row>
    <row r="163" spans="5:5" x14ac:dyDescent="0.25">
      <c r="E163" t="str">
        <f>IFERROR(INDEX(MotorList,ROW()-2),"")</f>
        <v/>
      </c>
    </row>
    <row r="164" spans="5:5" x14ac:dyDescent="0.25">
      <c r="E164" t="str">
        <f>IFERROR(INDEX(MotorList,ROW()-2),"")</f>
        <v/>
      </c>
    </row>
    <row r="165" spans="5:5" x14ac:dyDescent="0.25">
      <c r="E165" t="str">
        <f>IFERROR(INDEX(MotorList,ROW()-2),"")</f>
        <v/>
      </c>
    </row>
    <row r="166" spans="5:5" x14ac:dyDescent="0.25">
      <c r="E166" t="str">
        <f>IFERROR(INDEX(MotorList,ROW()-2),"")</f>
        <v/>
      </c>
    </row>
    <row r="167" spans="5:5" x14ac:dyDescent="0.25">
      <c r="E167" t="str">
        <f>IFERROR(INDEX(MotorList,ROW()-2),"")</f>
        <v/>
      </c>
    </row>
    <row r="168" spans="5:5" x14ac:dyDescent="0.25">
      <c r="E168" t="str">
        <f>IFERROR(INDEX(MotorList,ROW()-2),"")</f>
        <v/>
      </c>
    </row>
    <row r="169" spans="5:5" x14ac:dyDescent="0.25">
      <c r="E169" t="str">
        <f>IFERROR(INDEX(MotorList,ROW()-2),"")</f>
        <v/>
      </c>
    </row>
    <row r="170" spans="5:5" x14ac:dyDescent="0.25">
      <c r="E170" t="str">
        <f>IFERROR(INDEX(MotorList,ROW()-2),"")</f>
        <v/>
      </c>
    </row>
    <row r="171" spans="5:5" x14ac:dyDescent="0.25">
      <c r="E171" t="str">
        <f>IFERROR(INDEX(MotorList,ROW()-2),"")</f>
        <v/>
      </c>
    </row>
    <row r="172" spans="5:5" x14ac:dyDescent="0.25">
      <c r="E172" t="str">
        <f>IFERROR(INDEX(MotorList,ROW()-2),"")</f>
        <v/>
      </c>
    </row>
    <row r="173" spans="5:5" x14ac:dyDescent="0.25">
      <c r="E173" t="str">
        <f>IFERROR(INDEX(MotorList,ROW()-2),"")</f>
        <v/>
      </c>
    </row>
    <row r="174" spans="5:5" x14ac:dyDescent="0.25">
      <c r="E174" t="str">
        <f>IFERROR(INDEX(MotorList,ROW()-2),"")</f>
        <v/>
      </c>
    </row>
    <row r="175" spans="5:5" x14ac:dyDescent="0.25">
      <c r="E175" t="str">
        <f>IFERROR(INDEX(MotorList,ROW()-2),"")</f>
        <v/>
      </c>
    </row>
    <row r="176" spans="5:5" x14ac:dyDescent="0.25">
      <c r="E176" t="str">
        <f>IFERROR(INDEX(MotorList,ROW()-2),"")</f>
        <v/>
      </c>
    </row>
    <row r="177" spans="5:5" x14ac:dyDescent="0.25">
      <c r="E177" t="str">
        <f>IFERROR(INDEX(MotorList,ROW()-2),"")</f>
        <v/>
      </c>
    </row>
    <row r="178" spans="5:5" x14ac:dyDescent="0.25">
      <c r="E178" t="str">
        <f>IFERROR(INDEX(MotorList,ROW()-2),"")</f>
        <v/>
      </c>
    </row>
    <row r="179" spans="5:5" x14ac:dyDescent="0.25">
      <c r="E179" t="str">
        <f>IFERROR(INDEX(MotorList,ROW()-2),"")</f>
        <v/>
      </c>
    </row>
    <row r="180" spans="5:5" x14ac:dyDescent="0.25">
      <c r="E180" t="str">
        <f>IFERROR(INDEX(MotorList,ROW()-2),"")</f>
        <v/>
      </c>
    </row>
    <row r="181" spans="5:5" x14ac:dyDescent="0.25">
      <c r="E181" t="str">
        <f>IFERROR(INDEX(MotorList,ROW()-2),"")</f>
        <v/>
      </c>
    </row>
    <row r="182" spans="5:5" x14ac:dyDescent="0.25">
      <c r="E182" t="str">
        <f>IFERROR(INDEX(MotorList,ROW()-2),"")</f>
        <v/>
      </c>
    </row>
    <row r="183" spans="5:5" x14ac:dyDescent="0.25">
      <c r="E183" t="str">
        <f>IFERROR(INDEX(MotorList,ROW()-2),"")</f>
        <v/>
      </c>
    </row>
    <row r="184" spans="5:5" x14ac:dyDescent="0.25">
      <c r="E184" t="str">
        <f>IFERROR(INDEX(MotorList,ROW()-2),"")</f>
        <v/>
      </c>
    </row>
    <row r="185" spans="5:5" x14ac:dyDescent="0.25">
      <c r="E185" t="str">
        <f>IFERROR(INDEX(MotorList,ROW()-2),"")</f>
        <v/>
      </c>
    </row>
    <row r="186" spans="5:5" x14ac:dyDescent="0.25">
      <c r="E186" t="str">
        <f>IFERROR(INDEX(MotorList,ROW()-2),"")</f>
        <v/>
      </c>
    </row>
    <row r="187" spans="5:5" x14ac:dyDescent="0.25">
      <c r="E187" t="str">
        <f>IFERROR(INDEX(MotorList,ROW()-2),"")</f>
        <v/>
      </c>
    </row>
    <row r="188" spans="5:5" x14ac:dyDescent="0.25">
      <c r="E188" t="str">
        <f>IFERROR(INDEX(MotorList,ROW()-2),"")</f>
        <v/>
      </c>
    </row>
    <row r="189" spans="5:5" x14ac:dyDescent="0.25">
      <c r="E189" t="str">
        <f>IFERROR(INDEX(MotorList,ROW()-2),"")</f>
        <v/>
      </c>
    </row>
    <row r="190" spans="5:5" x14ac:dyDescent="0.25">
      <c r="E190" t="str">
        <f>IFERROR(INDEX(MotorList,ROW()-2),"")</f>
        <v/>
      </c>
    </row>
    <row r="191" spans="5:5" x14ac:dyDescent="0.25">
      <c r="E191" t="str">
        <f>IFERROR(INDEX(MotorList,ROW()-2),"")</f>
        <v/>
      </c>
    </row>
    <row r="192" spans="5:5" x14ac:dyDescent="0.25">
      <c r="E192" t="str">
        <f>IFERROR(INDEX(MotorList,ROW()-2),"")</f>
        <v/>
      </c>
    </row>
    <row r="193" spans="5:5" x14ac:dyDescent="0.25">
      <c r="E193" t="str">
        <f>IFERROR(INDEX(MotorList,ROW()-2),"")</f>
        <v/>
      </c>
    </row>
    <row r="194" spans="5:5" x14ac:dyDescent="0.25">
      <c r="E194" t="str">
        <f>IFERROR(INDEX(MotorList,ROW()-2),"")</f>
        <v/>
      </c>
    </row>
    <row r="195" spans="5:5" x14ac:dyDescent="0.25">
      <c r="E195" t="str">
        <f>IFERROR(INDEX(MotorList,ROW()-2),"")</f>
        <v/>
      </c>
    </row>
    <row r="196" spans="5:5" x14ac:dyDescent="0.25">
      <c r="E196" t="str">
        <f>IFERROR(INDEX(MotorList,ROW()-2),"")</f>
        <v/>
      </c>
    </row>
    <row r="197" spans="5:5" x14ac:dyDescent="0.25">
      <c r="E197" t="str">
        <f>IFERROR(INDEX(MotorList,ROW()-2),"")</f>
        <v/>
      </c>
    </row>
    <row r="198" spans="5:5" x14ac:dyDescent="0.25">
      <c r="E198" t="str">
        <f>IFERROR(INDEX(MotorList,ROW()-2),"")</f>
        <v/>
      </c>
    </row>
    <row r="199" spans="5:5" x14ac:dyDescent="0.25">
      <c r="E199" t="str">
        <f>IFERROR(INDEX(MotorList,ROW()-2),"")</f>
        <v/>
      </c>
    </row>
    <row r="200" spans="5:5" x14ac:dyDescent="0.25">
      <c r="E200" t="str">
        <f>IFERROR(INDEX(MotorList,ROW()-2),"")</f>
        <v/>
      </c>
    </row>
    <row r="201" spans="5:5" x14ac:dyDescent="0.25">
      <c r="E201" t="str">
        <f>IFERROR(INDEX(MotorList,ROW()-2),"")</f>
        <v/>
      </c>
    </row>
    <row r="202" spans="5:5" x14ac:dyDescent="0.25">
      <c r="E202" t="str">
        <f>IFERROR(INDEX(MotorList,ROW()-2),"")</f>
        <v/>
      </c>
    </row>
    <row r="203" spans="5:5" x14ac:dyDescent="0.25">
      <c r="E203" t="str">
        <f>IFERROR(INDEX(MotorList,ROW()-2),"")</f>
        <v/>
      </c>
    </row>
    <row r="204" spans="5:5" x14ac:dyDescent="0.25">
      <c r="E204" t="str">
        <f>IFERROR(INDEX(MotorList,ROW()-2),"")</f>
        <v/>
      </c>
    </row>
    <row r="205" spans="5:5" x14ac:dyDescent="0.25">
      <c r="E205" t="str">
        <f>IFERROR(INDEX(MotorList,ROW()-2),"")</f>
        <v/>
      </c>
    </row>
    <row r="206" spans="5:5" x14ac:dyDescent="0.25">
      <c r="E206" t="str">
        <f>IFERROR(INDEX(MotorList,ROW()-2),"")</f>
        <v/>
      </c>
    </row>
    <row r="207" spans="5:5" x14ac:dyDescent="0.25">
      <c r="E207" t="str">
        <f>IFERROR(INDEX(MotorList,ROW()-2),"")</f>
        <v/>
      </c>
    </row>
    <row r="208" spans="5:5" x14ac:dyDescent="0.25">
      <c r="E208" t="str">
        <f>IFERROR(INDEX(MotorList,ROW()-2),"")</f>
        <v/>
      </c>
    </row>
    <row r="209" spans="5:5" x14ac:dyDescent="0.25">
      <c r="E209" t="str">
        <f>IFERROR(INDEX(MotorList,ROW()-2),"")</f>
        <v/>
      </c>
    </row>
    <row r="210" spans="5:5" x14ac:dyDescent="0.25">
      <c r="E210" t="str">
        <f>IFERROR(INDEX(MotorList,ROW()-2),"")</f>
        <v/>
      </c>
    </row>
    <row r="211" spans="5:5" x14ac:dyDescent="0.25">
      <c r="E211" t="str">
        <f>IFERROR(INDEX(MotorList,ROW()-2),"")</f>
        <v/>
      </c>
    </row>
    <row r="212" spans="5:5" x14ac:dyDescent="0.25">
      <c r="E212" t="str">
        <f>IFERROR(INDEX(MotorList,ROW()-2),"")</f>
        <v/>
      </c>
    </row>
    <row r="213" spans="5:5" x14ac:dyDescent="0.25">
      <c r="E213" t="str">
        <f>IFERROR(INDEX(MotorList,ROW()-2),"")</f>
        <v/>
      </c>
    </row>
    <row r="214" spans="5:5" x14ac:dyDescent="0.25">
      <c r="E214" t="str">
        <f>IFERROR(INDEX(MotorList,ROW()-2),"")</f>
        <v/>
      </c>
    </row>
    <row r="215" spans="5:5" x14ac:dyDescent="0.25">
      <c r="E215" t="str">
        <f>IFERROR(INDEX(MotorList,ROW()-2),"")</f>
        <v/>
      </c>
    </row>
    <row r="216" spans="5:5" x14ac:dyDescent="0.25">
      <c r="E216" t="str">
        <f>IFERROR(INDEX(MotorList,ROW()-2),"")</f>
        <v/>
      </c>
    </row>
    <row r="217" spans="5:5" x14ac:dyDescent="0.25">
      <c r="E217" t="str">
        <f>IFERROR(INDEX(MotorList,ROW()-2),"")</f>
        <v/>
      </c>
    </row>
    <row r="218" spans="5:5" x14ac:dyDescent="0.25">
      <c r="E218" t="str">
        <f>IFERROR(INDEX(MotorList,ROW()-2),"")</f>
        <v/>
      </c>
    </row>
    <row r="219" spans="5:5" x14ac:dyDescent="0.25">
      <c r="E219" t="str">
        <f>IFERROR(INDEX(MotorList,ROW()-2),"")</f>
        <v/>
      </c>
    </row>
    <row r="220" spans="5:5" x14ac:dyDescent="0.25">
      <c r="E220" t="str">
        <f>IFERROR(INDEX(MotorList,ROW()-2),"")</f>
        <v/>
      </c>
    </row>
    <row r="221" spans="5:5" x14ac:dyDescent="0.25">
      <c r="E221" t="str">
        <f>IFERROR(INDEX(MotorList,ROW()-2),"")</f>
        <v/>
      </c>
    </row>
    <row r="222" spans="5:5" x14ac:dyDescent="0.25">
      <c r="E222" t="str">
        <f>IFERROR(INDEX(MotorList,ROW()-2),"")</f>
        <v/>
      </c>
    </row>
    <row r="223" spans="5:5" x14ac:dyDescent="0.25">
      <c r="E223" t="str">
        <f>IFERROR(INDEX(MotorList,ROW()-2),"")</f>
        <v/>
      </c>
    </row>
    <row r="224" spans="5:5" x14ac:dyDescent="0.25">
      <c r="E224" t="str">
        <f>IFERROR(INDEX(MotorList,ROW()-2),"")</f>
        <v/>
      </c>
    </row>
    <row r="225" spans="5:5" x14ac:dyDescent="0.25">
      <c r="E225" t="str">
        <f>IFERROR(INDEX(MotorList,ROW()-2),"")</f>
        <v/>
      </c>
    </row>
    <row r="226" spans="5:5" x14ac:dyDescent="0.25">
      <c r="E226" t="str">
        <f>IFERROR(INDEX(MotorList,ROW()-2),"")</f>
        <v/>
      </c>
    </row>
    <row r="227" spans="5:5" x14ac:dyDescent="0.25">
      <c r="E227" t="str">
        <f>IFERROR(INDEX(MotorList,ROW()-2),"")</f>
        <v/>
      </c>
    </row>
    <row r="228" spans="5:5" x14ac:dyDescent="0.25">
      <c r="E228" t="str">
        <f>IFERROR(INDEX(MotorList,ROW()-2),"")</f>
        <v/>
      </c>
    </row>
    <row r="229" spans="5:5" x14ac:dyDescent="0.25">
      <c r="E229" t="str">
        <f>IFERROR(INDEX(MotorList,ROW()-2),"")</f>
        <v/>
      </c>
    </row>
    <row r="230" spans="5:5" x14ac:dyDescent="0.25">
      <c r="E230" t="str">
        <f>IFERROR(INDEX(MotorList,ROW()-2),"")</f>
        <v/>
      </c>
    </row>
    <row r="231" spans="5:5" x14ac:dyDescent="0.25">
      <c r="E231" t="str">
        <f>IFERROR(INDEX(MotorList,ROW()-2),"")</f>
        <v/>
      </c>
    </row>
    <row r="232" spans="5:5" x14ac:dyDescent="0.25">
      <c r="E232" t="str">
        <f>IFERROR(INDEX(MotorList,ROW()-2),"")</f>
        <v/>
      </c>
    </row>
    <row r="233" spans="5:5" x14ac:dyDescent="0.25">
      <c r="E233" t="str">
        <f>IFERROR(INDEX(MotorList,ROW()-2),"")</f>
        <v/>
      </c>
    </row>
    <row r="234" spans="5:5" x14ac:dyDescent="0.25">
      <c r="E234" t="str">
        <f>IFERROR(INDEX(MotorList,ROW()-2),"")</f>
        <v/>
      </c>
    </row>
    <row r="235" spans="5:5" x14ac:dyDescent="0.25">
      <c r="E235" t="str">
        <f>IFERROR(INDEX(MotorList,ROW()-2),"")</f>
        <v/>
      </c>
    </row>
    <row r="236" spans="5:5" x14ac:dyDescent="0.25">
      <c r="E236" t="str">
        <f>IFERROR(INDEX(MotorList,ROW()-2),"")</f>
        <v/>
      </c>
    </row>
    <row r="237" spans="5:5" x14ac:dyDescent="0.25">
      <c r="E237" t="str">
        <f>IFERROR(INDEX(MotorList,ROW()-2),"")</f>
        <v/>
      </c>
    </row>
    <row r="238" spans="5:5" x14ac:dyDescent="0.25">
      <c r="E238" t="str">
        <f>IFERROR(INDEX(MotorList,ROW()-2),"")</f>
        <v/>
      </c>
    </row>
    <row r="239" spans="5:5" x14ac:dyDescent="0.25">
      <c r="E239" t="str">
        <f>IFERROR(INDEX(MotorList,ROW()-2),"")</f>
        <v/>
      </c>
    </row>
    <row r="240" spans="5:5" x14ac:dyDescent="0.25">
      <c r="E240" t="str">
        <f>IFERROR(INDEX(MotorList,ROW()-2),"")</f>
        <v/>
      </c>
    </row>
    <row r="241" spans="5:5" x14ac:dyDescent="0.25">
      <c r="E241" t="str">
        <f>IFERROR(INDEX(MotorList,ROW()-2),"")</f>
        <v/>
      </c>
    </row>
    <row r="242" spans="5:5" x14ac:dyDescent="0.25">
      <c r="E242" t="str">
        <f>IFERROR(INDEX(MotorList,ROW()-2),"")</f>
        <v/>
      </c>
    </row>
    <row r="243" spans="5:5" x14ac:dyDescent="0.25">
      <c r="E243" t="str">
        <f>IFERROR(INDEX(MotorList,ROW()-2),"")</f>
        <v/>
      </c>
    </row>
    <row r="244" spans="5:5" x14ac:dyDescent="0.25">
      <c r="E244" t="str">
        <f>IFERROR(INDEX(MotorList,ROW()-2),"")</f>
        <v/>
      </c>
    </row>
    <row r="245" spans="5:5" x14ac:dyDescent="0.25">
      <c r="E245" t="str">
        <f>IFERROR(INDEX(MotorList,ROW()-2),"")</f>
        <v/>
      </c>
    </row>
    <row r="246" spans="5:5" x14ac:dyDescent="0.25">
      <c r="E246" t="str">
        <f>IFERROR(INDEX(MotorList,ROW()-2),"")</f>
        <v/>
      </c>
    </row>
    <row r="247" spans="5:5" x14ac:dyDescent="0.25">
      <c r="E247" t="str">
        <f>IFERROR(INDEX(MotorList,ROW()-2),"")</f>
        <v/>
      </c>
    </row>
    <row r="248" spans="5:5" x14ac:dyDescent="0.25">
      <c r="E248" t="str">
        <f>IFERROR(INDEX(MotorList,ROW()-2),"")</f>
        <v/>
      </c>
    </row>
    <row r="249" spans="5:5" x14ac:dyDescent="0.25">
      <c r="E249" t="str">
        <f>IFERROR(INDEX(MotorList,ROW()-2),"")</f>
        <v/>
      </c>
    </row>
    <row r="250" spans="5:5" x14ac:dyDescent="0.25">
      <c r="E250" t="str">
        <f>IFERROR(INDEX(MotorList,ROW()-2),"")</f>
        <v/>
      </c>
    </row>
    <row r="251" spans="5:5" x14ac:dyDescent="0.25">
      <c r="E251" t="str">
        <f>IFERROR(INDEX(MotorList,ROW()-2),"")</f>
        <v/>
      </c>
    </row>
    <row r="252" spans="5:5" x14ac:dyDescent="0.25">
      <c r="E252" t="str">
        <f>IFERROR(INDEX(MotorList,ROW()-2),"")</f>
        <v/>
      </c>
    </row>
    <row r="253" spans="5:5" x14ac:dyDescent="0.25">
      <c r="E253" t="str">
        <f>IFERROR(INDEX(MotorList,ROW()-2),"")</f>
        <v/>
      </c>
    </row>
    <row r="254" spans="5:5" x14ac:dyDescent="0.25">
      <c r="E254" t="str">
        <f>IFERROR(INDEX(MotorList,ROW()-2),"")</f>
        <v/>
      </c>
    </row>
    <row r="255" spans="5:5" x14ac:dyDescent="0.25">
      <c r="E255" t="str">
        <f>IFERROR(INDEX(MotorList,ROW()-2),"")</f>
        <v/>
      </c>
    </row>
    <row r="256" spans="5:5" x14ac:dyDescent="0.25">
      <c r="E256" t="str">
        <f>IFERROR(INDEX(MotorList,ROW()-2),"")</f>
        <v/>
      </c>
    </row>
    <row r="257" spans="5:5" x14ac:dyDescent="0.25">
      <c r="E257" t="str">
        <f>IFERROR(INDEX(MotorList,ROW()-2),"")</f>
        <v/>
      </c>
    </row>
    <row r="258" spans="5:5" x14ac:dyDescent="0.25">
      <c r="E258" t="str">
        <f>IFERROR(INDEX(MotorList,ROW()-2),"")</f>
        <v/>
      </c>
    </row>
    <row r="259" spans="5:5" x14ac:dyDescent="0.25">
      <c r="E259" t="str">
        <f>IFERROR(INDEX(MotorList,ROW()-2),"")</f>
        <v/>
      </c>
    </row>
    <row r="260" spans="5:5" x14ac:dyDescent="0.25">
      <c r="E260" t="str">
        <f>IFERROR(INDEX(MotorList,ROW()-2),"")</f>
        <v/>
      </c>
    </row>
    <row r="261" spans="5:5" x14ac:dyDescent="0.25">
      <c r="E261" t="str">
        <f>IFERROR(INDEX(MotorList,ROW()-2),"")</f>
        <v/>
      </c>
    </row>
    <row r="262" spans="5:5" x14ac:dyDescent="0.25">
      <c r="E262" t="str">
        <f>IFERROR(INDEX(MotorList,ROW()-2),"")</f>
        <v/>
      </c>
    </row>
    <row r="263" spans="5:5" x14ac:dyDescent="0.25">
      <c r="E263" t="str">
        <f>IFERROR(INDEX(MotorList,ROW()-2),"")</f>
        <v/>
      </c>
    </row>
    <row r="264" spans="5:5" x14ac:dyDescent="0.25">
      <c r="E264" t="str">
        <f>IFERROR(INDEX(MotorList,ROW()-2),"")</f>
        <v/>
      </c>
    </row>
    <row r="265" spans="5:5" x14ac:dyDescent="0.25">
      <c r="E265" t="str">
        <f>IFERROR(INDEX(MotorList,ROW()-2),"")</f>
        <v/>
      </c>
    </row>
    <row r="266" spans="5:5" x14ac:dyDescent="0.25">
      <c r="E266" t="str">
        <f>IFERROR(INDEX(MotorList,ROW()-2),"")</f>
        <v/>
      </c>
    </row>
    <row r="267" spans="5:5" x14ac:dyDescent="0.25">
      <c r="E267" t="str">
        <f>IFERROR(INDEX(MotorList,ROW()-2),"")</f>
        <v/>
      </c>
    </row>
    <row r="268" spans="5:5" x14ac:dyDescent="0.25">
      <c r="E268" t="str">
        <f>IFERROR(INDEX(MotorList,ROW()-2),"")</f>
        <v/>
      </c>
    </row>
    <row r="269" spans="5:5" x14ac:dyDescent="0.25">
      <c r="E269" t="str">
        <f>IFERROR(INDEX(MotorList,ROW()-2),"")</f>
        <v/>
      </c>
    </row>
    <row r="270" spans="5:5" x14ac:dyDescent="0.25">
      <c r="E270" t="str">
        <f>IFERROR(INDEX(MotorList,ROW()-2),"")</f>
        <v/>
      </c>
    </row>
    <row r="271" spans="5:5" x14ac:dyDescent="0.25">
      <c r="E271" t="str">
        <f>IFERROR(INDEX(MotorList,ROW()-2),"")</f>
        <v/>
      </c>
    </row>
    <row r="272" spans="5:5" x14ac:dyDescent="0.25">
      <c r="E272" t="str">
        <f>IFERROR(INDEX(MotorList,ROW()-2),"")</f>
        <v/>
      </c>
    </row>
    <row r="273" spans="5:5" x14ac:dyDescent="0.25">
      <c r="E273" t="str">
        <f>IFERROR(INDEX(MotorList,ROW()-2),"")</f>
        <v/>
      </c>
    </row>
    <row r="274" spans="5:5" x14ac:dyDescent="0.25">
      <c r="E274" t="str">
        <f>IFERROR(INDEX(MotorList,ROW()-2),"")</f>
        <v/>
      </c>
    </row>
    <row r="275" spans="5:5" x14ac:dyDescent="0.25">
      <c r="E275" t="str">
        <f>IFERROR(INDEX(MotorList,ROW()-2),"")</f>
        <v/>
      </c>
    </row>
    <row r="276" spans="5:5" x14ac:dyDescent="0.25">
      <c r="E276" t="str">
        <f>IFERROR(INDEX(MotorList,ROW()-2),"")</f>
        <v/>
      </c>
    </row>
    <row r="277" spans="5:5" x14ac:dyDescent="0.25">
      <c r="E277" t="str">
        <f>IFERROR(INDEX(MotorList,ROW()-2),"")</f>
        <v/>
      </c>
    </row>
    <row r="278" spans="5:5" x14ac:dyDescent="0.25">
      <c r="E278" t="str">
        <f>IFERROR(INDEX(MotorList,ROW()-2),"")</f>
        <v/>
      </c>
    </row>
    <row r="279" spans="5:5" x14ac:dyDescent="0.25">
      <c r="E279" t="str">
        <f>IFERROR(INDEX(MotorList,ROW()-2),"")</f>
        <v/>
      </c>
    </row>
    <row r="280" spans="5:5" x14ac:dyDescent="0.25">
      <c r="E280" t="str">
        <f>IFERROR(INDEX(MotorList,ROW()-2),"")</f>
        <v/>
      </c>
    </row>
    <row r="281" spans="5:5" x14ac:dyDescent="0.25">
      <c r="E281" t="str">
        <f>IFERROR(INDEX(MotorList,ROW()-2),"")</f>
        <v/>
      </c>
    </row>
    <row r="282" spans="5:5" x14ac:dyDescent="0.25">
      <c r="E282" t="str">
        <f>IFERROR(INDEX(MotorList,ROW()-2),"")</f>
        <v/>
      </c>
    </row>
    <row r="283" spans="5:5" x14ac:dyDescent="0.25">
      <c r="E283" t="str">
        <f>IFERROR(INDEX(MotorList,ROW()-2),"")</f>
        <v/>
      </c>
    </row>
    <row r="284" spans="5:5" x14ac:dyDescent="0.25">
      <c r="E284" t="str">
        <f>IFERROR(INDEX(MotorList,ROW()-2),"")</f>
        <v/>
      </c>
    </row>
    <row r="285" spans="5:5" x14ac:dyDescent="0.25">
      <c r="E285" t="str">
        <f>IFERROR(INDEX(MotorList,ROW()-2),"")</f>
        <v/>
      </c>
    </row>
    <row r="286" spans="5:5" x14ac:dyDescent="0.25">
      <c r="E286" t="str">
        <f>IFERROR(INDEX(MotorList,ROW()-2),"")</f>
        <v/>
      </c>
    </row>
    <row r="287" spans="5:5" x14ac:dyDescent="0.25">
      <c r="E287" t="str">
        <f>IFERROR(INDEX(MotorList,ROW()-2),"")</f>
        <v/>
      </c>
    </row>
    <row r="288" spans="5:5" x14ac:dyDescent="0.25">
      <c r="E288" t="str">
        <f>IFERROR(INDEX(MotorList,ROW()-2),"")</f>
        <v/>
      </c>
    </row>
    <row r="289" spans="5:5" x14ac:dyDescent="0.25">
      <c r="E289" t="str">
        <f>IFERROR(INDEX(MotorList,ROW()-2),"")</f>
        <v/>
      </c>
    </row>
    <row r="290" spans="5:5" x14ac:dyDescent="0.25">
      <c r="E290" t="str">
        <f>IFERROR(INDEX(MotorList,ROW()-2),"")</f>
        <v/>
      </c>
    </row>
    <row r="291" spans="5:5" x14ac:dyDescent="0.25">
      <c r="E291" t="str">
        <f>IFERROR(INDEX(MotorList,ROW()-2),"")</f>
        <v/>
      </c>
    </row>
    <row r="292" spans="5:5" x14ac:dyDescent="0.25">
      <c r="E292" t="str">
        <f>IFERROR(INDEX(MotorList,ROW()-2),"")</f>
        <v/>
      </c>
    </row>
    <row r="293" spans="5:5" x14ac:dyDescent="0.25">
      <c r="E293" t="str">
        <f>IFERROR(INDEX(MotorList,ROW()-2),"")</f>
        <v/>
      </c>
    </row>
    <row r="294" spans="5:5" x14ac:dyDescent="0.25">
      <c r="E294" t="str">
        <f>IFERROR(INDEX(MotorList,ROW()-2),"")</f>
        <v/>
      </c>
    </row>
    <row r="295" spans="5:5" x14ac:dyDescent="0.25">
      <c r="E295" t="str">
        <f>IFERROR(INDEX(MotorList,ROW()-2),"")</f>
        <v/>
      </c>
    </row>
    <row r="296" spans="5:5" x14ac:dyDescent="0.25">
      <c r="E296" t="str">
        <f>IFERROR(INDEX(MotorList,ROW()-2),"")</f>
        <v/>
      </c>
    </row>
    <row r="297" spans="5:5" x14ac:dyDescent="0.25">
      <c r="E297" t="str">
        <f>IFERROR(INDEX(MotorList,ROW()-2),"")</f>
        <v/>
      </c>
    </row>
    <row r="298" spans="5:5" x14ac:dyDescent="0.25">
      <c r="E298" t="str">
        <f>IFERROR(INDEX(MotorList,ROW()-2),"")</f>
        <v/>
      </c>
    </row>
    <row r="299" spans="5:5" x14ac:dyDescent="0.25">
      <c r="E299" t="str">
        <f>IFERROR(INDEX(MotorList,ROW()-2),"")</f>
        <v/>
      </c>
    </row>
    <row r="300" spans="5:5" x14ac:dyDescent="0.25">
      <c r="E300" t="str">
        <f>IFERROR(INDEX(MotorList,ROW()-2),"")</f>
        <v/>
      </c>
    </row>
    <row r="301" spans="5:5" x14ac:dyDescent="0.25">
      <c r="E301" t="str">
        <f>IFERROR(INDEX(MotorList,ROW()-2),"")</f>
        <v/>
      </c>
    </row>
    <row r="302" spans="5:5" x14ac:dyDescent="0.25">
      <c r="E302" t="str">
        <f>IFERROR(INDEX(MotorList,ROW()-2),"")</f>
        <v/>
      </c>
    </row>
    <row r="303" spans="5:5" x14ac:dyDescent="0.25">
      <c r="E303" t="str">
        <f>IFERROR(INDEX(MotorList,ROW()-2),"")</f>
        <v/>
      </c>
    </row>
    <row r="304" spans="5:5" x14ac:dyDescent="0.25">
      <c r="E304" t="str">
        <f>IFERROR(INDEX(MotorList,ROW()-2),"")</f>
        <v/>
      </c>
    </row>
    <row r="305" spans="5:5" x14ac:dyDescent="0.25">
      <c r="E305" t="str">
        <f>IFERROR(INDEX(MotorList,ROW()-2),"")</f>
        <v/>
      </c>
    </row>
    <row r="306" spans="5:5" x14ac:dyDescent="0.25">
      <c r="E306" t="str">
        <f>IFERROR(INDEX(MotorList,ROW()-2),"")</f>
        <v/>
      </c>
    </row>
    <row r="307" spans="5:5" x14ac:dyDescent="0.25">
      <c r="E307" t="str">
        <f>IFERROR(INDEX(MotorList,ROW()-2),"")</f>
        <v/>
      </c>
    </row>
    <row r="308" spans="5:5" x14ac:dyDescent="0.25">
      <c r="E308" t="str">
        <f>IFERROR(INDEX(MotorList,ROW()-2),"")</f>
        <v/>
      </c>
    </row>
    <row r="309" spans="5:5" x14ac:dyDescent="0.25">
      <c r="E309" t="str">
        <f>IFERROR(INDEX(MotorList,ROW()-2),"")</f>
        <v/>
      </c>
    </row>
    <row r="310" spans="5:5" x14ac:dyDescent="0.25">
      <c r="E310" t="str">
        <f>IFERROR(INDEX(MotorList,ROW()-2),"")</f>
        <v/>
      </c>
    </row>
    <row r="311" spans="5:5" x14ac:dyDescent="0.25">
      <c r="E311" t="str">
        <f>IFERROR(INDEX(MotorList,ROW()-2),"")</f>
        <v/>
      </c>
    </row>
    <row r="312" spans="5:5" x14ac:dyDescent="0.25">
      <c r="E312" t="str">
        <f>IFERROR(INDEX(MotorList,ROW()-2),"")</f>
        <v/>
      </c>
    </row>
    <row r="313" spans="5:5" x14ac:dyDescent="0.25">
      <c r="E313" t="str">
        <f>IFERROR(INDEX(MotorList,ROW()-2),"")</f>
        <v/>
      </c>
    </row>
    <row r="314" spans="5:5" x14ac:dyDescent="0.25">
      <c r="E314" t="str">
        <f>IFERROR(INDEX(MotorList,ROW()-2),"")</f>
        <v/>
      </c>
    </row>
    <row r="315" spans="5:5" x14ac:dyDescent="0.25">
      <c r="E315" t="str">
        <f>IFERROR(INDEX(MotorList,ROW()-2),"")</f>
        <v/>
      </c>
    </row>
    <row r="316" spans="5:5" x14ac:dyDescent="0.25">
      <c r="E316" t="str">
        <f>IFERROR(INDEX(MotorList,ROW()-2),"")</f>
        <v/>
      </c>
    </row>
    <row r="317" spans="5:5" x14ac:dyDescent="0.25">
      <c r="E317" t="str">
        <f>IFERROR(INDEX(MotorList,ROW()-2),"")</f>
        <v/>
      </c>
    </row>
    <row r="318" spans="5:5" x14ac:dyDescent="0.25">
      <c r="E318" t="str">
        <f>IFERROR(INDEX(MotorList,ROW()-2),"")</f>
        <v/>
      </c>
    </row>
    <row r="319" spans="5:5" x14ac:dyDescent="0.25">
      <c r="E319" t="str">
        <f>IFERROR(INDEX(MotorList,ROW()-2),"")</f>
        <v/>
      </c>
    </row>
    <row r="320" spans="5:5" x14ac:dyDescent="0.25">
      <c r="E320" t="str">
        <f>IFERROR(INDEX(MotorList,ROW()-2),"")</f>
        <v/>
      </c>
    </row>
    <row r="321" spans="5:5" x14ac:dyDescent="0.25">
      <c r="E321" t="str">
        <f>IFERROR(INDEX(MotorList,ROW()-2),"")</f>
        <v/>
      </c>
    </row>
    <row r="322" spans="5:5" x14ac:dyDescent="0.25">
      <c r="E322" t="str">
        <f>IFERROR(INDEX(MotorList,ROW()-2),"")</f>
        <v/>
      </c>
    </row>
    <row r="323" spans="5:5" x14ac:dyDescent="0.25">
      <c r="E323" t="str">
        <f>IFERROR(INDEX(MotorList,ROW()-2),"")</f>
        <v/>
      </c>
    </row>
    <row r="324" spans="5:5" x14ac:dyDescent="0.25">
      <c r="E324" t="str">
        <f>IFERROR(INDEX(MotorList,ROW()-2),"")</f>
        <v/>
      </c>
    </row>
    <row r="325" spans="5:5" x14ac:dyDescent="0.25">
      <c r="E325" t="str">
        <f>IFERROR(INDEX(MotorList,ROW()-2),"")</f>
        <v/>
      </c>
    </row>
    <row r="326" spans="5:5" x14ac:dyDescent="0.25">
      <c r="E326" t="str">
        <f>IFERROR(INDEX(MotorList,ROW()-2),"")</f>
        <v/>
      </c>
    </row>
    <row r="327" spans="5:5" x14ac:dyDescent="0.25">
      <c r="E327" t="str">
        <f>IFERROR(INDEX(MotorList,ROW()-2),"")</f>
        <v/>
      </c>
    </row>
    <row r="328" spans="5:5" x14ac:dyDescent="0.25">
      <c r="E328" t="str">
        <f>IFERROR(INDEX(MotorList,ROW()-2),"")</f>
        <v/>
      </c>
    </row>
    <row r="329" spans="5:5" x14ac:dyDescent="0.25">
      <c r="E329" t="str">
        <f>IFERROR(INDEX(MotorList,ROW()-2),"")</f>
        <v/>
      </c>
    </row>
    <row r="330" spans="5:5" x14ac:dyDescent="0.25">
      <c r="E330" t="str">
        <f>IFERROR(INDEX(MotorList,ROW()-2),"")</f>
        <v/>
      </c>
    </row>
    <row r="331" spans="5:5" x14ac:dyDescent="0.25">
      <c r="E331" t="str">
        <f>IFERROR(INDEX(MotorList,ROW()-2),"")</f>
        <v/>
      </c>
    </row>
    <row r="332" spans="5:5" x14ac:dyDescent="0.25">
      <c r="E332" t="str">
        <f>IFERROR(INDEX(MotorList,ROW()-2),"")</f>
        <v/>
      </c>
    </row>
    <row r="333" spans="5:5" x14ac:dyDescent="0.25">
      <c r="E333" t="str">
        <f>IFERROR(INDEX(MotorList,ROW()-2),"")</f>
        <v/>
      </c>
    </row>
    <row r="334" spans="5:5" x14ac:dyDescent="0.25">
      <c r="E334" t="str">
        <f>IFERROR(INDEX(MotorList,ROW()-2),"")</f>
        <v/>
      </c>
    </row>
    <row r="335" spans="5:5" x14ac:dyDescent="0.25">
      <c r="E335" t="str">
        <f>IFERROR(INDEX(MotorList,ROW()-2),"")</f>
        <v/>
      </c>
    </row>
    <row r="336" spans="5:5" x14ac:dyDescent="0.25">
      <c r="E336" t="str">
        <f>IFERROR(INDEX(MotorList,ROW()-2),"")</f>
        <v/>
      </c>
    </row>
    <row r="337" spans="5:5" x14ac:dyDescent="0.25">
      <c r="E337" t="str">
        <f>IFERROR(INDEX(MotorList,ROW()-2),"")</f>
        <v/>
      </c>
    </row>
    <row r="338" spans="5:5" x14ac:dyDescent="0.25">
      <c r="E338" t="str">
        <f>IFERROR(INDEX(MotorList,ROW()-2),"")</f>
        <v/>
      </c>
    </row>
    <row r="339" spans="5:5" x14ac:dyDescent="0.25">
      <c r="E339" t="str">
        <f>IFERROR(INDEX(MotorList,ROW()-2),"")</f>
        <v/>
      </c>
    </row>
    <row r="340" spans="5:5" x14ac:dyDescent="0.25">
      <c r="E340" t="str">
        <f>IFERROR(INDEX(MotorList,ROW()-2),"")</f>
        <v/>
      </c>
    </row>
    <row r="341" spans="5:5" x14ac:dyDescent="0.25">
      <c r="E341" t="str">
        <f>IFERROR(INDEX(MotorList,ROW()-2),"")</f>
        <v/>
      </c>
    </row>
    <row r="342" spans="5:5" x14ac:dyDescent="0.25">
      <c r="E342" t="str">
        <f>IFERROR(INDEX(MotorList,ROW()-2),"")</f>
        <v/>
      </c>
    </row>
    <row r="343" spans="5:5" x14ac:dyDescent="0.25">
      <c r="E343" t="str">
        <f>IFERROR(INDEX(MotorList,ROW()-2),"")</f>
        <v/>
      </c>
    </row>
    <row r="344" spans="5:5" x14ac:dyDescent="0.25">
      <c r="E344" t="str">
        <f>IFERROR(INDEX(MotorList,ROW()-2),"")</f>
        <v/>
      </c>
    </row>
    <row r="345" spans="5:5" x14ac:dyDescent="0.25">
      <c r="E345" t="str">
        <f>IFERROR(INDEX(MotorList,ROW()-2),"")</f>
        <v/>
      </c>
    </row>
    <row r="346" spans="5:5" x14ac:dyDescent="0.25">
      <c r="E346" t="str">
        <f>IFERROR(INDEX(MotorList,ROW()-2),"")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Simulation Conditions</vt:lpstr>
      <vt:lpstr>Vehicle</vt:lpstr>
      <vt:lpstr>Recovery</vt:lpstr>
      <vt:lpstr>Validation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Corey</dc:creator>
  <cp:lastModifiedBy>Daniel Corey</cp:lastModifiedBy>
  <dcterms:created xsi:type="dcterms:W3CDTF">2017-08-26T18:54:19Z</dcterms:created>
  <dcterms:modified xsi:type="dcterms:W3CDTF">2018-09-28T21:24:42Z</dcterms:modified>
</cp:coreProperties>
</file>